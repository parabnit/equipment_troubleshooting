
<file path=[Content_Types].xml><?xml version="1.0" encoding="utf-8"?>
<Types xmlns="http://schemas.openxmlformats.org/package/2006/content-types">
  <Default Extension="png" ContentType="image/png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70" windowWidth="28455" windowHeight="11955"/>
  </bookViews>
  <sheets>
    <sheet name="Summary Sheet " sheetId="1" r:id="rId1"/>
    <sheet name="Reference Sheet" sheetId="2" r:id="rId2"/>
    <sheet name="AMAT " sheetId="3" r:id="rId3"/>
    <sheet name="NANO " sheetId="4" r:id="rId4"/>
    <sheet name="MICRO 1 &amp; 2 " sheetId="5" r:id="rId5"/>
    <sheet name="MBE " sheetId="6" r:id="rId6"/>
    <sheet name="NCPRE " sheetId="7" r:id="rId7"/>
    <sheet name="NMPF" sheetId="8" r:id="rId8"/>
    <sheet name="MBE Cells UPS" sheetId="9" r:id="rId9"/>
    <sheet name="Other IITBNF UPS " sheetId="10" r:id="rId10"/>
  </sheets>
  <calcPr calcId="124519"/>
  <fileRecoveryPr repairLoad="1"/>
</workbook>
</file>

<file path=xl/calcChain.xml><?xml version="1.0" encoding="utf-8"?>
<calcChain xmlns="http://schemas.openxmlformats.org/spreadsheetml/2006/main">
  <c r="AG6" i="1"/>
  <c r="AG5"/>
  <c r="AG3"/>
  <c r="AE128" i="6"/>
  <c r="AE126"/>
  <c r="AE127" s="1"/>
  <c r="AE129" s="1"/>
  <c r="X128" i="7"/>
  <c r="V128"/>
  <c r="T128"/>
  <c r="X126"/>
  <c r="X127" s="1"/>
  <c r="X129" s="1"/>
  <c r="V126"/>
  <c r="V127" s="1"/>
  <c r="V129" s="1"/>
  <c r="T126"/>
  <c r="T127" s="1"/>
  <c r="T129" s="1"/>
  <c r="AE6" i="1" s="1"/>
  <c r="AC128" i="6"/>
  <c r="AA128"/>
  <c r="Y128"/>
  <c r="AC126"/>
  <c r="AC127" s="1"/>
  <c r="AC129" s="1"/>
  <c r="AA126"/>
  <c r="AA127" s="1"/>
  <c r="AA129" s="1"/>
  <c r="Y126"/>
  <c r="Y127" s="1"/>
  <c r="Y129" s="1"/>
  <c r="AE5" i="1" s="1"/>
  <c r="AE127" i="5"/>
  <c r="AC127"/>
  <c r="X127"/>
  <c r="AE125"/>
  <c r="AE126" s="1"/>
  <c r="AE128" s="1"/>
  <c r="AC125"/>
  <c r="AC126" s="1"/>
  <c r="AC128" s="1"/>
  <c r="X125"/>
  <c r="X126" s="1"/>
  <c r="X128" s="1"/>
  <c r="AE4" i="1" s="1"/>
  <c r="AP71" i="4"/>
  <c r="AN71"/>
  <c r="AL71"/>
  <c r="AJ71"/>
  <c r="AP69"/>
  <c r="AP70" s="1"/>
  <c r="AP72" s="1"/>
  <c r="AN69"/>
  <c r="AN70" s="1"/>
  <c r="AN72" s="1"/>
  <c r="AL69"/>
  <c r="AL70" s="1"/>
  <c r="AL72" s="1"/>
  <c r="AJ69"/>
  <c r="AJ70" s="1"/>
  <c r="AJ72" s="1"/>
  <c r="AE3" i="1"/>
</calcChain>
</file>

<file path=xl/sharedStrings.xml><?xml version="1.0" encoding="utf-8"?>
<sst xmlns="http://schemas.openxmlformats.org/spreadsheetml/2006/main" count="7158" uniqueCount="185">
  <si>
    <t>UPS</t>
  </si>
  <si>
    <t>Comments</t>
  </si>
  <si>
    <t xml:space="preserve">Comments </t>
  </si>
  <si>
    <t>24-10-2018</t>
  </si>
  <si>
    <t>21-1-2019</t>
  </si>
  <si>
    <t>27/8/2019</t>
  </si>
  <si>
    <t>27/9/2019</t>
  </si>
  <si>
    <t>31/10/2019</t>
  </si>
  <si>
    <t>26/11/2019</t>
  </si>
  <si>
    <t>AMAT</t>
  </si>
  <si>
    <t xml:space="preserve">Only Failed Batteries Considered. Not Changed </t>
  </si>
  <si>
    <t>To Be Checked</t>
  </si>
  <si>
    <t>Many Batteries reading not even coming</t>
  </si>
  <si>
    <t>Many reading not coming. UPS not in use</t>
  </si>
  <si>
    <t>Not Taken. UPS not in use.</t>
  </si>
  <si>
    <t>NANO</t>
  </si>
  <si>
    <t>Only 5 "Warning" Batteries were replaced in Jan 2018</t>
  </si>
  <si>
    <t>26/3/2018</t>
  </si>
  <si>
    <t xml:space="preserve">32 new batteries installed on the second battery bank and old batteries removed. </t>
  </si>
  <si>
    <t>All Pass</t>
  </si>
  <si>
    <t>1 Battery showing Failed</t>
  </si>
  <si>
    <t>M1/M2</t>
  </si>
  <si>
    <t>In Warning Stage</t>
  </si>
  <si>
    <t>5 Batteries showing Failed &amp; 78 Batteries showing Warning</t>
  </si>
  <si>
    <t>3 Warning &amp; 2 Failed , Remaining 115 Passed. Battery Bank was fully changed on 3&amp;4 August 2019</t>
  </si>
  <si>
    <t>8 Batteries showing Failed</t>
  </si>
  <si>
    <t>4 Batteries showing Warning &amp; 5 Batteries showing Failed</t>
  </si>
  <si>
    <t>2 Batteries showing Warning &amp; 13 Batteries showing Failed</t>
  </si>
  <si>
    <t>2 Batteries showing Warning &amp; 25 Batteries showing Failed</t>
  </si>
  <si>
    <t>MBE</t>
  </si>
  <si>
    <t>2 Batteries replace in October. 1 required to be changed as no reading is coming.</t>
  </si>
  <si>
    <t>2 Showing Failed &amp; Battery reading did not come</t>
  </si>
  <si>
    <t>1 Battery reading did not come. Rest are Passed.</t>
  </si>
  <si>
    <t>1 Battery showing Warning &amp; 1 Battery reading did not come</t>
  </si>
  <si>
    <t>34 Batteries showing Warning &amp; 24 Batteries showing Failed</t>
  </si>
  <si>
    <t>NCPRE</t>
  </si>
  <si>
    <t>Replaced on 2/2/2018</t>
  </si>
  <si>
    <t>1 Battery reading did not come</t>
  </si>
  <si>
    <t>1 Battery showing Warning</t>
  </si>
  <si>
    <t>8 Batteries showing Warning &amp; 6 Batteries showing Failed</t>
  </si>
  <si>
    <t xml:space="preserve">NMPF </t>
  </si>
  <si>
    <t>AL &amp; PC CELL MBE LAB LAHA SIR 10 KVA UPS</t>
  </si>
  <si>
    <t>GAL 6 SC SIR MBE LAB 10 KVA UPS</t>
  </si>
  <si>
    <t>GAL EURO MBE LAB LAHA SIR 10 KVA UPS</t>
  </si>
  <si>
    <t xml:space="preserve">EC Lab 10 KVA UPS </t>
  </si>
  <si>
    <t xml:space="preserve">MCL UPS 1 15 KVA </t>
  </si>
  <si>
    <t xml:space="preserve">MCL UPS 2 15 KVA </t>
  </si>
  <si>
    <t xml:space="preserve">IT Team Office 6 KVA UPS </t>
  </si>
  <si>
    <t xml:space="preserve">Micro 2 Lab XPS 10 KVA UPS </t>
  </si>
  <si>
    <t>HSC [OE] [NCPRE] Lab UPS - Newly Added</t>
  </si>
  <si>
    <t>Battery Internal Resistance [IR] Specs by Voltage &amp; AH [Ampere Hours]</t>
  </si>
  <si>
    <t xml:space="preserve">Sr. No. </t>
  </si>
  <si>
    <t xml:space="preserve">Voltage </t>
  </si>
  <si>
    <t>AH</t>
  </si>
  <si>
    <t>Max IR (m-ohm)</t>
  </si>
  <si>
    <t>LEGEND/KEY</t>
  </si>
  <si>
    <t>Pass</t>
  </si>
  <si>
    <t xml:space="preserve">Below 1.5 x Max IR </t>
  </si>
  <si>
    <t>Warning</t>
  </si>
  <si>
    <t>Between 1.5 x Max IR to 2.0 x Max IR</t>
  </si>
  <si>
    <t>Fail</t>
  </si>
  <si>
    <t xml:space="preserve">Above 2.0 x Max IR </t>
  </si>
  <si>
    <t>Battery Spec: 12 Volts 120 AH</t>
  </si>
  <si>
    <t>Brand: Exide Powersafe</t>
  </si>
  <si>
    <t>31/8/2017</t>
  </si>
  <si>
    <t>15/11/2017</t>
  </si>
  <si>
    <t>Comments - 10/1/2017</t>
  </si>
  <si>
    <t>PASS</t>
  </si>
  <si>
    <t>OF.</t>
  </si>
  <si>
    <t>5.6 came as reading in 2nd attempt - PASS</t>
  </si>
  <si>
    <t>FAIL</t>
  </si>
  <si>
    <t>WARNING</t>
  </si>
  <si>
    <t>4.9 came as reading in 2nd attempt - PASS</t>
  </si>
  <si>
    <t>Battery Spec: 12 Volts 150 AH</t>
  </si>
  <si>
    <t>Sr.No.</t>
  </si>
  <si>
    <t>30/8/2017</t>
  </si>
  <si>
    <t>20/12/2017</t>
  </si>
  <si>
    <t>Comments - 20/12/2018</t>
  </si>
  <si>
    <t>Comments - 10/1/2018</t>
  </si>
  <si>
    <t>Comments - 11/1/2018</t>
  </si>
  <si>
    <t>Comments - 9/2/2018</t>
  </si>
  <si>
    <t>New Battery Reading</t>
  </si>
  <si>
    <t>19/2/2018</t>
  </si>
  <si>
    <t xml:space="preserve">Comments - 19/2/2018 </t>
  </si>
  <si>
    <t>Comments - 26/3/2018</t>
  </si>
  <si>
    <t>Comments - 3/7/2018</t>
  </si>
  <si>
    <t>24/10/2018</t>
  </si>
  <si>
    <t>Comments - 24/10/2018</t>
  </si>
  <si>
    <t>21/1/2019</t>
  </si>
  <si>
    <t>Comments - 21/1/2019</t>
  </si>
  <si>
    <t>19/8/2019</t>
  </si>
  <si>
    <t>Comments - 19/8/2019</t>
  </si>
  <si>
    <t>Comments - 27/9/2019</t>
  </si>
  <si>
    <t>Comments - 31/10/2019</t>
  </si>
  <si>
    <t>Comments - 26/11/2019</t>
  </si>
  <si>
    <t>Comments - 9/1/2020</t>
  </si>
  <si>
    <t>25/2/2020</t>
  </si>
  <si>
    <t>Comments - 25/2/2020</t>
  </si>
  <si>
    <t>Comments - 7/12/2020</t>
  </si>
  <si>
    <t>25/1/2021</t>
  </si>
  <si>
    <t>Comments - 25/1/2021</t>
  </si>
  <si>
    <t>Comments - 9/3/2021</t>
  </si>
  <si>
    <t>27/4/2021</t>
  </si>
  <si>
    <t>Comments - 27/4/2021</t>
  </si>
  <si>
    <t>Replaced during Nano AHU &amp; Chiller PM</t>
  </si>
  <si>
    <t>Replaced with new one</t>
  </si>
  <si>
    <t>No Reading Came</t>
  </si>
  <si>
    <t xml:space="preserve">Warning </t>
  </si>
  <si>
    <t>Replacement pending</t>
  </si>
  <si>
    <t>Battery Reading did not come</t>
  </si>
  <si>
    <t>Made one bank of only 32 good batteries</t>
  </si>
  <si>
    <t>Disconnected - Gone Bad Last Year</t>
  </si>
  <si>
    <t>New Battery Installation done today</t>
  </si>
  <si>
    <t xml:space="preserve">Non-Healthy Batteries </t>
  </si>
  <si>
    <t>17/11/2017</t>
  </si>
  <si>
    <t>23/1/2018</t>
  </si>
  <si>
    <t>Comments - 8/1/2020</t>
  </si>
  <si>
    <t>14/2/2020</t>
  </si>
  <si>
    <t>Comments - 14/2/2020</t>
  </si>
  <si>
    <t>28/1/2021</t>
  </si>
  <si>
    <t>Comments - 28/1/2021</t>
  </si>
  <si>
    <t>29/1/2021</t>
  </si>
  <si>
    <t>17/2/2021</t>
  </si>
  <si>
    <t>Comments - 17/2/2021</t>
  </si>
  <si>
    <t>Changed</t>
  </si>
  <si>
    <t>Failed</t>
  </si>
  <si>
    <t>OFF</t>
  </si>
  <si>
    <t>38% BATTERY FAILED</t>
  </si>
  <si>
    <t xml:space="preserve">Brand: </t>
  </si>
  <si>
    <t>Sr. No.</t>
  </si>
  <si>
    <t>16/11/2017</t>
  </si>
  <si>
    <t xml:space="preserve">Comments - 24/10/2018 </t>
  </si>
  <si>
    <t xml:space="preserve">Comments - 21/1/2019 </t>
  </si>
  <si>
    <t>27/11/2019</t>
  </si>
  <si>
    <t>Comments - 27/11/2019</t>
  </si>
  <si>
    <t>Comments - 10/1/2020</t>
  </si>
  <si>
    <t>17/2/2020</t>
  </si>
  <si>
    <t>Comments - 17/2/2020</t>
  </si>
  <si>
    <t>Comments - 11/12/2020</t>
  </si>
  <si>
    <t>18/3/2021</t>
  </si>
  <si>
    <t>Comments - 18/3/2021</t>
  </si>
  <si>
    <t>22/4/2021</t>
  </si>
  <si>
    <t>Comments - 22/4/2021</t>
  </si>
  <si>
    <t>Reading did not come</t>
  </si>
  <si>
    <t>Changed in Oct' 17</t>
  </si>
  <si>
    <t>Not Determined</t>
  </si>
  <si>
    <t>Battery Spec: 12 Volts, 120 AH</t>
  </si>
  <si>
    <t xml:space="preserve">21/1/2019 </t>
  </si>
  <si>
    <t>29/11/2019</t>
  </si>
  <si>
    <t>Comments - 29/11/2019</t>
  </si>
  <si>
    <t>Battery reading did not come</t>
  </si>
  <si>
    <t>Waring</t>
  </si>
  <si>
    <t>Brand: Exide Power Safe</t>
  </si>
  <si>
    <t>Comments - 4/10/2019</t>
  </si>
  <si>
    <t>20/1/2021</t>
  </si>
  <si>
    <t>Comments - 20/1/2021</t>
  </si>
  <si>
    <t>AL &amp; PC CELL MBE LAB 10 KVA UPS</t>
  </si>
  <si>
    <t xml:space="preserve">Battery Spec: </t>
  </si>
  <si>
    <t>12 Volts 100 AH</t>
  </si>
  <si>
    <t>Exide Power-Safe Plus</t>
  </si>
  <si>
    <t>Comments - 1/3/2019</t>
  </si>
  <si>
    <t>29/3/2019</t>
  </si>
  <si>
    <t>Comments - 29/3/2019</t>
  </si>
  <si>
    <t>27/6/2019</t>
  </si>
  <si>
    <t>Comments - 27/6/2019</t>
  </si>
  <si>
    <t>Comments - 3/2/2020</t>
  </si>
  <si>
    <t>Comments - 3/9/2021</t>
  </si>
  <si>
    <t>12 Volts 65 AH</t>
  </si>
  <si>
    <t>UPS Not In Use Since Sept 2018</t>
  </si>
  <si>
    <t>Battery Spec: 12 Volts 65 AH</t>
  </si>
  <si>
    <t>Brand: Amara Raja QUANTA</t>
  </si>
  <si>
    <t xml:space="preserve">New MBE 10 KVA </t>
  </si>
  <si>
    <t>Battery Spec:</t>
  </si>
  <si>
    <t>Brand:</t>
  </si>
  <si>
    <t>Exide Power-Safe</t>
  </si>
  <si>
    <t>Comments - 2/12/2019</t>
  </si>
  <si>
    <t>Comments - 8/12/2020</t>
  </si>
  <si>
    <t>12 Volts 26 AH</t>
  </si>
  <si>
    <t xml:space="preserve">IT Team Office 5 KVA UPS </t>
  </si>
  <si>
    <t>27/1/2021</t>
  </si>
  <si>
    <t>Comments - 27/1/2021</t>
  </si>
  <si>
    <t xml:space="preserve">Amara Raja QUANTA </t>
  </si>
  <si>
    <t xml:space="preserve">Reading got missed </t>
  </si>
  <si>
    <t>Pss</t>
  </si>
  <si>
    <t xml:space="preserve">Need to be taken </t>
  </si>
</sst>
</file>

<file path=xl/styles.xml><?xml version="1.0" encoding="utf-8"?>
<styleSheet xmlns="http://schemas.openxmlformats.org/spreadsheetml/2006/main">
  <numFmts count="1">
    <numFmt numFmtId="164" formatCode="m/d/yyyy"/>
  </numFmts>
  <fonts count="13">
    <font>
      <sz val="11"/>
      <color rgb="FF000000"/>
      <name val="Calibri"/>
    </font>
    <font>
      <sz val="11"/>
      <name val="Calibri"/>
    </font>
    <font>
      <b/>
      <sz val="11"/>
      <name val="Calibri"/>
    </font>
    <font>
      <sz val="11"/>
      <name val="Calibri"/>
    </font>
    <font>
      <sz val="11"/>
      <color rgb="FFFF0000"/>
      <name val="Calibri"/>
    </font>
    <font>
      <sz val="11"/>
      <color rgb="FFFF0000"/>
      <name val="Calibri"/>
    </font>
    <font>
      <sz val="11"/>
      <color rgb="FFE36C09"/>
      <name val="Calibri"/>
    </font>
    <font>
      <sz val="11"/>
      <color rgb="FFFFC000"/>
      <name val="Calibri"/>
    </font>
    <font>
      <b/>
      <sz val="11"/>
      <color rgb="FF000000"/>
      <name val="Calibri"/>
    </font>
    <font>
      <sz val="10"/>
      <color rgb="FF000000"/>
      <name val="Arial"/>
    </font>
    <font>
      <sz val="11"/>
      <name val="Arial"/>
    </font>
    <font>
      <sz val="11"/>
      <color rgb="FFF79646"/>
      <name val="Calibri"/>
    </font>
    <font>
      <sz val="11"/>
      <color rgb="FFFF0000"/>
      <name val="Arial"/>
    </font>
  </fonts>
  <fills count="12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E5DFEC"/>
        <bgColor rgb="FFE5DFEC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7">
    <xf numFmtId="0" fontId="0" fillId="0" borderId="0" xfId="0" applyFont="1" applyAlignment="1"/>
    <xf numFmtId="0" fontId="0" fillId="0" borderId="1" xfId="0" applyFont="1" applyBorder="1"/>
    <xf numFmtId="17" fontId="0" fillId="0" borderId="1" xfId="0" applyNumberFormat="1" applyFont="1" applyBorder="1"/>
    <xf numFmtId="15" fontId="0" fillId="0" borderId="1" xfId="0" applyNumberFormat="1" applyFont="1" applyBorder="1"/>
    <xf numFmtId="0" fontId="1" fillId="0" borderId="1" xfId="0" applyFont="1" applyBorder="1" applyAlignment="1"/>
    <xf numFmtId="164" fontId="1" fillId="0" borderId="1" xfId="0" applyNumberFormat="1" applyFont="1" applyBorder="1" applyAlignment="1"/>
    <xf numFmtId="164" fontId="2" fillId="0" borderId="1" xfId="0" applyNumberFormat="1" applyFont="1" applyBorder="1" applyAlignment="1"/>
    <xf numFmtId="0" fontId="2" fillId="0" borderId="1" xfId="0" applyFont="1" applyBorder="1" applyAlignment="1"/>
    <xf numFmtId="0" fontId="0" fillId="0" borderId="1" xfId="0" applyFont="1" applyBorder="1" applyAlignment="1">
      <alignment wrapText="1"/>
    </xf>
    <xf numFmtId="0" fontId="1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/>
    <xf numFmtId="0" fontId="1" fillId="3" borderId="1" xfId="0" applyFont="1" applyFill="1" applyBorder="1" applyAlignment="1"/>
    <xf numFmtId="0" fontId="1" fillId="4" borderId="1" xfId="0" applyFont="1" applyFill="1" applyBorder="1" applyAlignment="1"/>
    <xf numFmtId="0" fontId="1" fillId="0" borderId="0" xfId="0" applyFont="1" applyAlignment="1"/>
    <xf numFmtId="0" fontId="1" fillId="0" borderId="1" xfId="0" applyFont="1" applyBorder="1" applyAlignment="1">
      <alignment horizontal="center"/>
    </xf>
    <xf numFmtId="0" fontId="2" fillId="4" borderId="1" xfId="0" applyFont="1" applyFill="1" applyBorder="1" applyAlignment="1"/>
    <xf numFmtId="0" fontId="1" fillId="5" borderId="1" xfId="0" applyFont="1" applyFill="1" applyBorder="1" applyAlignment="1"/>
    <xf numFmtId="0" fontId="2" fillId="0" borderId="0" xfId="0" applyFont="1" applyAlignment="1"/>
    <xf numFmtId="14" fontId="0" fillId="0" borderId="0" xfId="0" applyNumberFormat="1" applyFont="1"/>
    <xf numFmtId="0" fontId="0" fillId="0" borderId="0" xfId="0" applyFont="1"/>
    <xf numFmtId="0" fontId="0" fillId="0" borderId="0" xfId="0" applyFont="1" applyAlignment="1">
      <alignment horizontal="right" wrapText="1"/>
    </xf>
    <xf numFmtId="0" fontId="5" fillId="0" borderId="0" xfId="0" applyFont="1"/>
    <xf numFmtId="0" fontId="0" fillId="0" borderId="0" xfId="0" applyFont="1" applyAlignment="1">
      <alignment horizontal="right"/>
    </xf>
    <xf numFmtId="0" fontId="5" fillId="0" borderId="0" xfId="0" applyFont="1" applyAlignment="1">
      <alignment horizontal="right" wrapText="1"/>
    </xf>
    <xf numFmtId="0" fontId="5" fillId="6" borderId="2" xfId="0" applyFont="1" applyFill="1" applyBorder="1" applyAlignment="1">
      <alignment horizontal="right" wrapText="1"/>
    </xf>
    <xf numFmtId="0" fontId="6" fillId="0" borderId="0" xfId="0" applyFont="1"/>
    <xf numFmtId="0" fontId="7" fillId="0" borderId="0" xfId="0" applyFont="1" applyAlignment="1">
      <alignment horizontal="right" wrapText="1"/>
    </xf>
    <xf numFmtId="0" fontId="8" fillId="0" borderId="0" xfId="0" applyFont="1" applyAlignment="1">
      <alignment horizontal="left"/>
    </xf>
    <xf numFmtId="14" fontId="0" fillId="0" borderId="0" xfId="0" applyNumberFormat="1" applyFont="1" applyAlignment="1">
      <alignment horizontal="right"/>
    </xf>
    <xf numFmtId="164" fontId="1" fillId="0" borderId="0" xfId="0" applyNumberFormat="1" applyFont="1" applyAlignment="1"/>
    <xf numFmtId="0" fontId="3" fillId="0" borderId="0" xfId="0" applyFont="1"/>
    <xf numFmtId="0" fontId="9" fillId="0" borderId="0" xfId="0" applyFont="1" applyAlignment="1">
      <alignment horizontal="right" wrapText="1"/>
    </xf>
    <xf numFmtId="0" fontId="0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1" fillId="0" borderId="0" xfId="0" applyFont="1"/>
    <xf numFmtId="0" fontId="0" fillId="7" borderId="2" xfId="0" applyFont="1" applyFill="1" applyBorder="1"/>
    <xf numFmtId="0" fontId="5" fillId="8" borderId="2" xfId="0" applyFont="1" applyFill="1" applyBorder="1"/>
    <xf numFmtId="0" fontId="10" fillId="0" borderId="0" xfId="0" applyFont="1" applyAlignment="1"/>
    <xf numFmtId="0" fontId="0" fillId="9" borderId="2" xfId="0" applyFont="1" applyFill="1" applyBorder="1"/>
    <xf numFmtId="0" fontId="0" fillId="3" borderId="2" xfId="0" applyFont="1" applyFill="1" applyBorder="1"/>
    <xf numFmtId="0" fontId="0" fillId="10" borderId="2" xfId="0" applyFont="1" applyFill="1" applyBorder="1"/>
    <xf numFmtId="0" fontId="10" fillId="3" borderId="0" xfId="0" applyFont="1" applyFill="1" applyAlignment="1">
      <alignment horizontal="right"/>
    </xf>
    <xf numFmtId="0" fontId="1" fillId="5" borderId="0" xfId="0" applyFont="1" applyFill="1" applyAlignment="1"/>
    <xf numFmtId="0" fontId="1" fillId="3" borderId="0" xfId="0" applyFont="1" applyFill="1" applyAlignment="1"/>
    <xf numFmtId="0" fontId="2" fillId="9" borderId="0" xfId="0" applyFont="1" applyFill="1" applyAlignment="1"/>
    <xf numFmtId="0" fontId="10" fillId="0" borderId="0" xfId="0" applyFont="1" applyAlignment="1">
      <alignment horizontal="right"/>
    </xf>
    <xf numFmtId="0" fontId="1" fillId="4" borderId="0" xfId="0" applyFont="1" applyFill="1" applyAlignment="1"/>
    <xf numFmtId="0" fontId="1" fillId="9" borderId="0" xfId="0" applyFont="1" applyFill="1" applyAlignment="1"/>
    <xf numFmtId="0" fontId="0" fillId="5" borderId="0" xfId="0" applyFont="1" applyFill="1" applyAlignment="1">
      <alignment horizontal="right"/>
    </xf>
    <xf numFmtId="0" fontId="0" fillId="3" borderId="0" xfId="0" applyFont="1" applyFill="1" applyAlignment="1">
      <alignment horizontal="right"/>
    </xf>
    <xf numFmtId="0" fontId="10" fillId="5" borderId="0" xfId="0" applyFont="1" applyFill="1" applyAlignment="1">
      <alignment horizontal="right"/>
    </xf>
    <xf numFmtId="0" fontId="10" fillId="0" borderId="0" xfId="0" applyFont="1" applyAlignment="1"/>
    <xf numFmtId="0" fontId="10" fillId="5" borderId="0" xfId="0" applyFont="1" applyFill="1" applyAlignment="1">
      <alignment horizontal="right"/>
    </xf>
    <xf numFmtId="0" fontId="9" fillId="5" borderId="0" xfId="0" applyFont="1" applyFill="1" applyAlignment="1">
      <alignment horizontal="right" wrapText="1"/>
    </xf>
    <xf numFmtId="0" fontId="10" fillId="3" borderId="0" xfId="0" applyFont="1" applyFill="1" applyAlignment="1">
      <alignment horizontal="right"/>
    </xf>
    <xf numFmtId="0" fontId="9" fillId="3" borderId="0" xfId="0" applyFont="1" applyFill="1" applyAlignment="1">
      <alignment horizontal="right" wrapText="1"/>
    </xf>
    <xf numFmtId="0" fontId="0" fillId="0" borderId="0" xfId="0" applyFont="1" applyAlignment="1"/>
    <xf numFmtId="0" fontId="0" fillId="7" borderId="0" xfId="0" applyFont="1" applyFill="1" applyAlignment="1">
      <alignment horizontal="right"/>
    </xf>
    <xf numFmtId="0" fontId="9" fillId="0" borderId="0" xfId="0" applyFont="1" applyAlignment="1">
      <alignment wrapText="1"/>
    </xf>
    <xf numFmtId="0" fontId="0" fillId="8" borderId="0" xfId="0" applyFont="1" applyFill="1" applyAlignment="1">
      <alignment horizontal="right"/>
    </xf>
    <xf numFmtId="0" fontId="10" fillId="5" borderId="0" xfId="0" applyFont="1" applyFill="1" applyAlignment="1">
      <alignment horizontal="right"/>
    </xf>
    <xf numFmtId="0" fontId="10" fillId="3" borderId="0" xfId="0" applyFont="1" applyFill="1" applyAlignment="1">
      <alignment horizontal="right"/>
    </xf>
    <xf numFmtId="0" fontId="0" fillId="4" borderId="0" xfId="0" applyFont="1" applyFill="1" applyAlignment="1">
      <alignment horizontal="right"/>
    </xf>
    <xf numFmtId="0" fontId="1" fillId="3" borderId="0" xfId="0" applyFont="1" applyFill="1"/>
    <xf numFmtId="0" fontId="1" fillId="5" borderId="0" xfId="0" applyFont="1" applyFill="1"/>
    <xf numFmtId="0" fontId="10" fillId="0" borderId="0" xfId="0" applyFont="1" applyAlignment="1">
      <alignment horizontal="left"/>
    </xf>
    <xf numFmtId="0" fontId="5" fillId="10" borderId="2" xfId="0" applyFont="1" applyFill="1" applyBorder="1"/>
    <xf numFmtId="0" fontId="10" fillId="3" borderId="0" xfId="0" applyFont="1" applyFill="1" applyAlignment="1"/>
    <xf numFmtId="0" fontId="0" fillId="2" borderId="0" xfId="0" applyFont="1" applyFill="1" applyAlignment="1">
      <alignment horizontal="right"/>
    </xf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0" fontId="10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0" fillId="4" borderId="0" xfId="0" applyFont="1" applyFill="1" applyAlignment="1">
      <alignment horizontal="right"/>
    </xf>
    <xf numFmtId="0" fontId="4" fillId="4" borderId="0" xfId="0" applyFont="1" applyFill="1" applyAlignment="1"/>
    <xf numFmtId="0" fontId="12" fillId="0" borderId="0" xfId="0" applyFont="1" applyAlignment="1">
      <alignment horizontal="right"/>
    </xf>
    <xf numFmtId="0" fontId="4" fillId="0" borderId="0" xfId="0" applyFont="1" applyAlignment="1"/>
    <xf numFmtId="0" fontId="4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12" fillId="4" borderId="0" xfId="0" applyFont="1" applyFill="1" applyAlignment="1">
      <alignment horizontal="right"/>
    </xf>
    <xf numFmtId="0" fontId="10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1" fillId="4" borderId="0" xfId="0" applyFont="1" applyFill="1"/>
    <xf numFmtId="0" fontId="10" fillId="3" borderId="0" xfId="0" applyFont="1" applyFill="1" applyAlignment="1">
      <alignment horizontal="right"/>
    </xf>
    <xf numFmtId="0" fontId="10" fillId="0" borderId="0" xfId="0" applyFont="1" applyAlignment="1"/>
    <xf numFmtId="0" fontId="10" fillId="5" borderId="0" xfId="0" applyFont="1" applyFill="1" applyAlignment="1">
      <alignment horizontal="right"/>
    </xf>
    <xf numFmtId="0" fontId="8" fillId="7" borderId="0" xfId="0" applyFont="1" applyFill="1" applyAlignment="1">
      <alignment horizontal="right"/>
    </xf>
    <xf numFmtId="0" fontId="8" fillId="0" borderId="0" xfId="0" applyFont="1" applyAlignment="1"/>
    <xf numFmtId="0" fontId="8" fillId="8" borderId="0" xfId="0" applyFont="1" applyFill="1" applyAlignment="1">
      <alignment horizontal="right"/>
    </xf>
    <xf numFmtId="0" fontId="8" fillId="3" borderId="0" xfId="0" applyFont="1" applyFill="1" applyAlignment="1">
      <alignment horizontal="right"/>
    </xf>
    <xf numFmtId="0" fontId="0" fillId="0" borderId="0" xfId="0" applyFont="1" applyAlignment="1"/>
    <xf numFmtId="0" fontId="1" fillId="9" borderId="1" xfId="0" applyFont="1" applyFill="1" applyBorder="1" applyAlignment="1"/>
    <xf numFmtId="0" fontId="10" fillId="0" borderId="0" xfId="0" applyFont="1" applyAlignment="1"/>
    <xf numFmtId="0" fontId="4" fillId="0" borderId="4" xfId="0" applyFont="1" applyBorder="1" applyAlignment="1"/>
    <xf numFmtId="0" fontId="1" fillId="0" borderId="4" xfId="0" applyFont="1" applyBorder="1" applyAlignment="1"/>
    <xf numFmtId="0" fontId="1" fillId="0" borderId="4" xfId="0" applyFont="1" applyBorder="1"/>
    <xf numFmtId="0" fontId="1" fillId="2" borderId="5" xfId="0" applyFont="1" applyFill="1" applyBorder="1" applyAlignment="1"/>
    <xf numFmtId="0" fontId="1" fillId="0" borderId="5" xfId="0" applyFont="1" applyBorder="1" applyAlignment="1"/>
    <xf numFmtId="0" fontId="0" fillId="0" borderId="3" xfId="0" applyFont="1" applyBorder="1" applyAlignment="1"/>
    <xf numFmtId="0" fontId="0" fillId="11" borderId="3" xfId="0" applyFont="1" applyFill="1" applyBorder="1" applyAlignment="1"/>
    <xf numFmtId="0" fontId="0" fillId="0" borderId="3" xfId="0" applyFont="1" applyFill="1" applyBorder="1" applyAlignment="1"/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9020175" cy="460057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1000"/>
  <sheetViews>
    <sheetView tabSelected="1" workbookViewId="0">
      <pane xSplit="1" topLeftCell="AC1" activePane="topRight" state="frozen"/>
      <selection pane="topRight" activeCell="AH7" sqref="AH7"/>
    </sheetView>
  </sheetViews>
  <sheetFormatPr defaultColWidth="14.42578125" defaultRowHeight="15" customHeight="1"/>
  <cols>
    <col min="1" max="1" width="40.5703125" customWidth="1"/>
    <col min="2" max="9" width="8.7109375" customWidth="1"/>
    <col min="10" max="10" width="46.42578125" customWidth="1"/>
    <col min="11" max="11" width="10.85546875" customWidth="1"/>
    <col min="12" max="12" width="28.140625" customWidth="1"/>
    <col min="13" max="13" width="8.7109375" customWidth="1"/>
    <col min="14" max="14" width="27.140625" customWidth="1"/>
    <col min="15" max="15" width="11.5703125" customWidth="1"/>
    <col min="16" max="16" width="26.28515625" customWidth="1"/>
    <col min="17" max="17" width="11" customWidth="1"/>
    <col min="18" max="18" width="19.140625" customWidth="1"/>
    <col min="19" max="19" width="10" customWidth="1"/>
    <col min="20" max="20" width="51.5703125" customWidth="1"/>
    <col min="21" max="21" width="10.42578125" customWidth="1"/>
    <col min="22" max="22" width="44.140625" customWidth="1"/>
    <col min="23" max="23" width="11.42578125" customWidth="1"/>
    <col min="24" max="24" width="41.85546875" customWidth="1"/>
    <col min="25" max="25" width="11.42578125" customWidth="1"/>
    <col min="26" max="26" width="35.5703125" customWidth="1"/>
    <col min="27" max="27" width="15.42578125" customWidth="1"/>
    <col min="28" max="28" width="52.28515625" customWidth="1"/>
    <col min="29" max="29" width="17.7109375" customWidth="1"/>
    <col min="30" max="30" width="52.28515625" customWidth="1"/>
    <col min="31" max="31" width="21.5703125" customWidth="1"/>
    <col min="32" max="32" width="56.28515625" customWidth="1"/>
    <col min="34" max="34" width="44.140625" customWidth="1"/>
  </cols>
  <sheetData>
    <row r="1" spans="1:34">
      <c r="A1" s="1" t="s">
        <v>0</v>
      </c>
      <c r="B1" s="2">
        <v>42917</v>
      </c>
      <c r="C1" s="2">
        <v>42948</v>
      </c>
      <c r="D1" s="2">
        <v>42979</v>
      </c>
      <c r="E1" s="2">
        <v>43009</v>
      </c>
      <c r="F1" s="2">
        <v>43040</v>
      </c>
      <c r="G1" s="2">
        <v>43070</v>
      </c>
      <c r="H1" s="2">
        <v>43101</v>
      </c>
      <c r="I1" s="2">
        <v>43132</v>
      </c>
      <c r="J1" s="1" t="s">
        <v>1</v>
      </c>
      <c r="K1" s="2">
        <v>43160</v>
      </c>
      <c r="L1" s="1" t="s">
        <v>2</v>
      </c>
      <c r="M1" s="2">
        <v>43282</v>
      </c>
      <c r="N1" s="1" t="s">
        <v>1</v>
      </c>
      <c r="O1" s="3">
        <v>43320</v>
      </c>
      <c r="P1" s="1" t="s">
        <v>1</v>
      </c>
      <c r="Q1" s="1" t="s">
        <v>3</v>
      </c>
      <c r="R1" s="1" t="s">
        <v>1</v>
      </c>
      <c r="S1" s="4" t="s">
        <v>4</v>
      </c>
      <c r="T1" s="4" t="s">
        <v>1</v>
      </c>
      <c r="U1" s="4" t="s">
        <v>5</v>
      </c>
      <c r="V1" s="4" t="s">
        <v>2</v>
      </c>
      <c r="W1" s="4" t="s">
        <v>6</v>
      </c>
      <c r="X1" s="4" t="s">
        <v>2</v>
      </c>
      <c r="Y1" s="5">
        <v>43565</v>
      </c>
      <c r="Z1" s="4" t="s">
        <v>2</v>
      </c>
      <c r="AA1" s="4" t="s">
        <v>7</v>
      </c>
      <c r="AB1" s="4" t="s">
        <v>2</v>
      </c>
      <c r="AC1" s="4" t="s">
        <v>8</v>
      </c>
      <c r="AD1" s="4" t="s">
        <v>1</v>
      </c>
      <c r="AE1" s="6">
        <v>44147</v>
      </c>
      <c r="AF1" s="7" t="s">
        <v>1</v>
      </c>
      <c r="AG1" s="6">
        <v>44321</v>
      </c>
      <c r="AH1" s="7" t="s">
        <v>1</v>
      </c>
    </row>
    <row r="2" spans="1:34">
      <c r="A2" s="1" t="s">
        <v>9</v>
      </c>
      <c r="B2" s="1">
        <v>2</v>
      </c>
      <c r="C2" s="1">
        <v>2</v>
      </c>
      <c r="D2" s="1"/>
      <c r="E2" s="1"/>
      <c r="F2" s="1">
        <v>5</v>
      </c>
      <c r="G2" s="1"/>
      <c r="H2" s="1">
        <v>4</v>
      </c>
      <c r="I2" s="1"/>
      <c r="J2" s="8" t="s">
        <v>10</v>
      </c>
      <c r="K2" s="1"/>
      <c r="L2" s="1"/>
      <c r="M2" s="1"/>
      <c r="N2" s="1" t="s">
        <v>11</v>
      </c>
      <c r="O2" s="1"/>
      <c r="P2" s="1" t="s">
        <v>11</v>
      </c>
      <c r="Q2" s="1"/>
      <c r="R2" s="1"/>
      <c r="S2" s="4"/>
      <c r="T2" s="4" t="s">
        <v>12</v>
      </c>
      <c r="U2" s="9"/>
      <c r="V2" s="4" t="s">
        <v>13</v>
      </c>
      <c r="W2" s="9"/>
      <c r="X2" s="4" t="s">
        <v>14</v>
      </c>
      <c r="Y2" s="9"/>
      <c r="Z2" s="9"/>
      <c r="AA2" s="9"/>
      <c r="AB2" s="4" t="s">
        <v>14</v>
      </c>
      <c r="AC2" s="4"/>
      <c r="AD2" s="4" t="s">
        <v>14</v>
      </c>
      <c r="AE2" s="4"/>
      <c r="AF2" s="4" t="s">
        <v>14</v>
      </c>
      <c r="AG2" s="4"/>
      <c r="AH2" s="4" t="s">
        <v>14</v>
      </c>
    </row>
    <row r="3" spans="1:34" ht="45">
      <c r="A3" s="1" t="s">
        <v>15</v>
      </c>
      <c r="B3" s="1"/>
      <c r="C3" s="1">
        <v>4</v>
      </c>
      <c r="D3" s="1"/>
      <c r="E3" s="1"/>
      <c r="F3" s="1"/>
      <c r="G3" s="1"/>
      <c r="H3" s="1"/>
      <c r="I3" s="1"/>
      <c r="J3" s="8" t="s">
        <v>16</v>
      </c>
      <c r="K3" s="1" t="s">
        <v>17</v>
      </c>
      <c r="L3" s="8" t="s">
        <v>18</v>
      </c>
      <c r="M3" s="10">
        <v>0</v>
      </c>
      <c r="N3" s="11" t="s">
        <v>19</v>
      </c>
      <c r="O3" s="1"/>
      <c r="P3" s="1" t="s">
        <v>11</v>
      </c>
      <c r="Q3" s="1"/>
      <c r="R3" s="1"/>
      <c r="S3" s="12">
        <v>64</v>
      </c>
      <c r="T3" s="4" t="s">
        <v>19</v>
      </c>
      <c r="U3" s="12">
        <v>64</v>
      </c>
      <c r="V3" s="4" t="s">
        <v>19</v>
      </c>
      <c r="W3" s="13">
        <v>1</v>
      </c>
      <c r="X3" s="4" t="s">
        <v>20</v>
      </c>
      <c r="Y3" s="4"/>
      <c r="Z3" s="9"/>
      <c r="AA3" s="12">
        <v>64</v>
      </c>
      <c r="AB3" s="4" t="s">
        <v>19</v>
      </c>
      <c r="AC3" s="12">
        <v>64</v>
      </c>
      <c r="AD3" s="4" t="s">
        <v>19</v>
      </c>
      <c r="AE3" s="12">
        <f>'NANO '!AJ69</f>
        <v>64</v>
      </c>
      <c r="AF3" s="4" t="s">
        <v>19</v>
      </c>
      <c r="AG3" s="101">
        <f>'NANO '!AL69</f>
        <v>64</v>
      </c>
      <c r="AH3" s="102" t="s">
        <v>19</v>
      </c>
    </row>
    <row r="4" spans="1:34">
      <c r="A4" s="1" t="s">
        <v>21</v>
      </c>
      <c r="B4" s="1"/>
      <c r="C4" s="1"/>
      <c r="D4" s="1"/>
      <c r="E4" s="1"/>
      <c r="F4" s="1"/>
      <c r="G4" s="1"/>
      <c r="H4" s="1"/>
      <c r="I4" s="1"/>
      <c r="J4" s="8"/>
      <c r="K4" s="1"/>
      <c r="L4" s="1"/>
      <c r="M4" s="1">
        <v>16</v>
      </c>
      <c r="N4" s="1" t="s">
        <v>22</v>
      </c>
      <c r="O4" s="1"/>
      <c r="P4" s="1" t="s">
        <v>11</v>
      </c>
      <c r="Q4" s="1"/>
      <c r="R4" s="1"/>
      <c r="S4" s="13">
        <v>83</v>
      </c>
      <c r="T4" s="4" t="s">
        <v>23</v>
      </c>
      <c r="U4" s="13">
        <v>5</v>
      </c>
      <c r="V4" s="14" t="s">
        <v>24</v>
      </c>
      <c r="W4" s="13">
        <v>8</v>
      </c>
      <c r="X4" s="4" t="s">
        <v>25</v>
      </c>
      <c r="Y4" s="9"/>
      <c r="Z4" s="9"/>
      <c r="AA4" s="13">
        <v>9</v>
      </c>
      <c r="AB4" s="4" t="s">
        <v>26</v>
      </c>
      <c r="AC4" s="13">
        <v>15</v>
      </c>
      <c r="AD4" s="4" t="s">
        <v>27</v>
      </c>
      <c r="AE4" s="13">
        <f>'MICRO 1 &amp; 2 '!X128</f>
        <v>27</v>
      </c>
      <c r="AF4" s="98" t="s">
        <v>28</v>
      </c>
      <c r="AG4" s="105"/>
      <c r="AH4" s="106" t="s">
        <v>184</v>
      </c>
    </row>
    <row r="5" spans="1:34" ht="30">
      <c r="A5" s="1" t="s">
        <v>29</v>
      </c>
      <c r="B5" s="1">
        <v>2</v>
      </c>
      <c r="C5" s="1"/>
      <c r="D5" s="1"/>
      <c r="E5" s="1">
        <v>0</v>
      </c>
      <c r="F5" s="1">
        <v>1</v>
      </c>
      <c r="G5" s="1"/>
      <c r="H5" s="1"/>
      <c r="I5" s="1"/>
      <c r="J5" s="8" t="s">
        <v>30</v>
      </c>
      <c r="K5" s="1"/>
      <c r="L5" s="1"/>
      <c r="M5" s="1"/>
      <c r="N5" s="1" t="s">
        <v>11</v>
      </c>
      <c r="O5" s="1">
        <v>0</v>
      </c>
      <c r="P5" s="1" t="s">
        <v>19</v>
      </c>
      <c r="Q5" s="1"/>
      <c r="R5" s="1"/>
      <c r="S5" s="13">
        <v>3</v>
      </c>
      <c r="T5" s="4" t="s">
        <v>31</v>
      </c>
      <c r="U5" s="13">
        <v>1</v>
      </c>
      <c r="V5" s="4" t="s">
        <v>32</v>
      </c>
      <c r="W5" s="13">
        <v>1</v>
      </c>
      <c r="X5" s="4" t="s">
        <v>32</v>
      </c>
      <c r="Y5" s="9"/>
      <c r="Z5" s="9"/>
      <c r="AA5" s="13">
        <v>2</v>
      </c>
      <c r="AB5" s="4" t="s">
        <v>33</v>
      </c>
      <c r="AC5" s="13">
        <v>1</v>
      </c>
      <c r="AD5" s="4" t="s">
        <v>20</v>
      </c>
      <c r="AE5" s="13">
        <f>'MBE '!Y129</f>
        <v>58</v>
      </c>
      <c r="AF5" s="98" t="s">
        <v>34</v>
      </c>
      <c r="AG5" s="104">
        <f>'MBE '!AE129</f>
        <v>80</v>
      </c>
      <c r="AH5" s="103"/>
    </row>
    <row r="6" spans="1:34">
      <c r="A6" s="1" t="s">
        <v>35</v>
      </c>
      <c r="B6" s="1"/>
      <c r="C6" s="1"/>
      <c r="D6" s="1"/>
      <c r="E6" s="1"/>
      <c r="F6" s="1">
        <v>1</v>
      </c>
      <c r="G6" s="1"/>
      <c r="H6" s="1">
        <v>0</v>
      </c>
      <c r="I6" s="1"/>
      <c r="J6" s="8" t="s">
        <v>36</v>
      </c>
      <c r="K6" s="1"/>
      <c r="L6" s="1"/>
      <c r="M6" s="1"/>
      <c r="N6" s="1" t="s">
        <v>11</v>
      </c>
      <c r="O6" s="1">
        <v>0</v>
      </c>
      <c r="P6" s="1" t="s">
        <v>19</v>
      </c>
      <c r="Q6" s="1"/>
      <c r="R6" s="1"/>
      <c r="S6" s="13">
        <v>1</v>
      </c>
      <c r="T6" s="4" t="s">
        <v>37</v>
      </c>
      <c r="U6" s="12">
        <v>120</v>
      </c>
      <c r="V6" s="4" t="s">
        <v>19</v>
      </c>
      <c r="W6" s="13">
        <v>1</v>
      </c>
      <c r="X6" s="4" t="s">
        <v>37</v>
      </c>
      <c r="Y6" s="9"/>
      <c r="Z6" s="9"/>
      <c r="AA6" s="13">
        <v>1</v>
      </c>
      <c r="AB6" s="4" t="s">
        <v>38</v>
      </c>
      <c r="AC6" s="13">
        <v>1</v>
      </c>
      <c r="AD6" s="4" t="s">
        <v>38</v>
      </c>
      <c r="AE6" s="13">
        <f>'NCPRE '!T129</f>
        <v>14</v>
      </c>
      <c r="AF6" s="98" t="s">
        <v>39</v>
      </c>
      <c r="AG6" s="104">
        <f>'NCPRE '!V129</f>
        <v>21</v>
      </c>
      <c r="AH6" s="103"/>
    </row>
    <row r="7" spans="1:34">
      <c r="A7" s="4" t="s">
        <v>40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2">
        <v>44</v>
      </c>
      <c r="Z7" s="4" t="s">
        <v>19</v>
      </c>
      <c r="AA7" s="4"/>
      <c r="AB7" s="4"/>
      <c r="AC7" s="4"/>
      <c r="AD7" s="4"/>
      <c r="AE7" s="4"/>
      <c r="AF7" s="99"/>
      <c r="AG7" s="103"/>
      <c r="AH7" s="103"/>
    </row>
    <row r="8" spans="1:34">
      <c r="A8" s="4" t="s">
        <v>41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100"/>
      <c r="AG8" s="103"/>
      <c r="AH8" s="103"/>
    </row>
    <row r="9" spans="1:34">
      <c r="A9" s="4" t="s">
        <v>42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100"/>
      <c r="AG9" s="103"/>
      <c r="AH9" s="103"/>
    </row>
    <row r="10" spans="1:34">
      <c r="A10" s="4" t="s">
        <v>43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100"/>
      <c r="AG10" s="103"/>
      <c r="AH10" s="103"/>
    </row>
    <row r="11" spans="1:34">
      <c r="A11" s="4" t="s">
        <v>44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100"/>
      <c r="AG11" s="103"/>
      <c r="AH11" s="103"/>
    </row>
    <row r="12" spans="1:34">
      <c r="A12" s="4" t="s">
        <v>45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100"/>
      <c r="AG12" s="103"/>
      <c r="AH12" s="103"/>
    </row>
    <row r="13" spans="1:34">
      <c r="A13" s="4" t="s">
        <v>46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100"/>
      <c r="AG13" s="103"/>
      <c r="AH13" s="103"/>
    </row>
    <row r="14" spans="1:34">
      <c r="A14" s="4" t="s">
        <v>47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100"/>
      <c r="AG14" s="103"/>
      <c r="AH14" s="103"/>
    </row>
    <row r="15" spans="1:34">
      <c r="A15" s="4" t="s">
        <v>48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100"/>
      <c r="AG15" s="103"/>
      <c r="AH15" s="103"/>
    </row>
    <row r="16" spans="1:34">
      <c r="A16" s="4" t="s">
        <v>49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100"/>
      <c r="AG16" s="103"/>
      <c r="AH16" s="10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19"/>
  <sheetViews>
    <sheetView workbookViewId="0"/>
  </sheetViews>
  <sheetFormatPr defaultColWidth="14.42578125" defaultRowHeight="15" customHeight="1"/>
  <cols>
    <col min="3" max="3" width="15.85546875" customWidth="1"/>
    <col min="4" max="4" width="15.28515625" customWidth="1"/>
  </cols>
  <sheetData>
    <row r="1" spans="1:4">
      <c r="A1" s="15" t="s">
        <v>50</v>
      </c>
      <c r="B1" s="15"/>
      <c r="C1" s="15"/>
      <c r="D1" s="15"/>
    </row>
    <row r="2" spans="1:4">
      <c r="A2" s="4" t="s">
        <v>51</v>
      </c>
      <c r="B2" s="4" t="s">
        <v>52</v>
      </c>
      <c r="C2" s="4" t="s">
        <v>53</v>
      </c>
      <c r="D2" s="4" t="s">
        <v>54</v>
      </c>
    </row>
    <row r="3" spans="1:4">
      <c r="A3" s="16">
        <v>1</v>
      </c>
      <c r="B3" s="16">
        <v>12</v>
      </c>
      <c r="C3" s="16">
        <v>7</v>
      </c>
      <c r="D3" s="16">
        <v>22</v>
      </c>
    </row>
    <row r="4" spans="1:4">
      <c r="A4" s="16">
        <v>2</v>
      </c>
      <c r="B4" s="16">
        <v>12</v>
      </c>
      <c r="C4" s="16">
        <v>9</v>
      </c>
      <c r="D4" s="16">
        <v>18</v>
      </c>
    </row>
    <row r="5" spans="1:4">
      <c r="A5" s="16">
        <v>3</v>
      </c>
      <c r="B5" s="16">
        <v>12</v>
      </c>
      <c r="C5" s="16">
        <v>12</v>
      </c>
      <c r="D5" s="16">
        <v>16</v>
      </c>
    </row>
    <row r="6" spans="1:4">
      <c r="A6" s="16">
        <v>4</v>
      </c>
      <c r="B6" s="16">
        <v>12</v>
      </c>
      <c r="C6" s="16">
        <v>17</v>
      </c>
      <c r="D6" s="16">
        <v>15</v>
      </c>
    </row>
    <row r="7" spans="1:4">
      <c r="A7" s="16">
        <v>5</v>
      </c>
      <c r="B7" s="16">
        <v>12</v>
      </c>
      <c r="C7" s="16">
        <v>26</v>
      </c>
      <c r="D7" s="16">
        <v>10</v>
      </c>
    </row>
    <row r="8" spans="1:4">
      <c r="A8" s="16">
        <v>6</v>
      </c>
      <c r="B8" s="16">
        <v>12</v>
      </c>
      <c r="C8" s="16">
        <v>42</v>
      </c>
      <c r="D8" s="16">
        <v>8</v>
      </c>
    </row>
    <row r="9" spans="1:4">
      <c r="A9" s="16">
        <v>7</v>
      </c>
      <c r="B9" s="16">
        <v>12</v>
      </c>
      <c r="C9" s="16">
        <v>65</v>
      </c>
      <c r="D9" s="16">
        <v>8</v>
      </c>
    </row>
    <row r="10" spans="1:4">
      <c r="A10" s="16">
        <v>8</v>
      </c>
      <c r="B10" s="16">
        <v>12</v>
      </c>
      <c r="C10" s="16">
        <v>75</v>
      </c>
      <c r="D10" s="16">
        <v>8</v>
      </c>
    </row>
    <row r="11" spans="1:4">
      <c r="A11" s="16">
        <v>9</v>
      </c>
      <c r="B11" s="16">
        <v>12</v>
      </c>
      <c r="C11" s="16">
        <v>100</v>
      </c>
      <c r="D11" s="16">
        <v>6</v>
      </c>
    </row>
    <row r="12" spans="1:4">
      <c r="A12" s="16">
        <v>10</v>
      </c>
      <c r="B12" s="16">
        <v>12</v>
      </c>
      <c r="C12" s="16">
        <v>120</v>
      </c>
      <c r="D12" s="16">
        <v>6</v>
      </c>
    </row>
    <row r="13" spans="1:4">
      <c r="A13" s="16">
        <v>11</v>
      </c>
      <c r="B13" s="16">
        <v>12</v>
      </c>
      <c r="C13" s="16">
        <v>150</v>
      </c>
      <c r="D13" s="16">
        <v>6</v>
      </c>
    </row>
    <row r="14" spans="1:4">
      <c r="A14" s="16">
        <v>12</v>
      </c>
      <c r="B14" s="16">
        <v>12</v>
      </c>
      <c r="C14" s="16">
        <v>200</v>
      </c>
      <c r="D14" s="16">
        <v>5</v>
      </c>
    </row>
    <row r="16" spans="1:4">
      <c r="A16" s="17" t="s">
        <v>55</v>
      </c>
      <c r="B16" s="15"/>
    </row>
    <row r="17" spans="1:2">
      <c r="A17" s="12" t="s">
        <v>56</v>
      </c>
      <c r="B17" s="15" t="s">
        <v>57</v>
      </c>
    </row>
    <row r="18" spans="1:2">
      <c r="A18" s="18" t="s">
        <v>58</v>
      </c>
      <c r="B18" s="15" t="s">
        <v>59</v>
      </c>
    </row>
    <row r="19" spans="1:2">
      <c r="A19" s="13" t="s">
        <v>60</v>
      </c>
      <c r="B19" s="15" t="s">
        <v>61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02"/>
  <sheetViews>
    <sheetView workbookViewId="0"/>
  </sheetViews>
  <sheetFormatPr defaultColWidth="14.42578125" defaultRowHeight="15" customHeight="1"/>
  <cols>
    <col min="1" max="1" width="8.7109375" customWidth="1"/>
    <col min="2" max="4" width="10.42578125" customWidth="1"/>
    <col min="5" max="5" width="9.7109375" customWidth="1"/>
    <col min="6" max="6" width="40.5703125" customWidth="1"/>
    <col min="7" max="26" width="8.7109375" customWidth="1"/>
  </cols>
  <sheetData>
    <row r="1" spans="1:6">
      <c r="A1" s="19" t="s">
        <v>62</v>
      </c>
      <c r="B1" s="20"/>
      <c r="C1" s="20"/>
      <c r="D1" s="20"/>
      <c r="E1" s="20"/>
    </row>
    <row r="2" spans="1:6">
      <c r="A2" s="19" t="s">
        <v>63</v>
      </c>
      <c r="B2" s="20"/>
      <c r="C2" s="20"/>
      <c r="D2" s="20"/>
      <c r="E2" s="20"/>
    </row>
    <row r="3" spans="1:6">
      <c r="A3" t="s">
        <v>51</v>
      </c>
      <c r="B3" s="20">
        <v>42937</v>
      </c>
      <c r="C3" s="20" t="s">
        <v>64</v>
      </c>
      <c r="D3" s="20" t="s">
        <v>65</v>
      </c>
      <c r="E3" s="20">
        <v>43374</v>
      </c>
      <c r="F3" t="s">
        <v>66</v>
      </c>
    </row>
    <row r="4" spans="1:6">
      <c r="A4" s="21">
        <v>1</v>
      </c>
      <c r="B4" s="21">
        <v>4.5</v>
      </c>
      <c r="C4" s="22">
        <v>6.1</v>
      </c>
      <c r="D4" s="21">
        <v>6.4</v>
      </c>
      <c r="E4">
        <v>4.9000000000000004</v>
      </c>
      <c r="F4" t="s">
        <v>67</v>
      </c>
    </row>
    <row r="5" spans="1:6">
      <c r="A5" s="21">
        <v>2</v>
      </c>
      <c r="B5" s="21">
        <v>4.4000000000000004</v>
      </c>
      <c r="C5" s="22">
        <v>4.5999999999999996</v>
      </c>
      <c r="D5" s="21">
        <v>4.5</v>
      </c>
      <c r="E5">
        <v>4.5999999999999996</v>
      </c>
      <c r="F5" t="s">
        <v>67</v>
      </c>
    </row>
    <row r="6" spans="1:6">
      <c r="A6" s="21">
        <v>3</v>
      </c>
      <c r="B6" s="21">
        <v>4.2</v>
      </c>
      <c r="C6" s="22">
        <v>4.3</v>
      </c>
      <c r="D6" s="23">
        <v>9999</v>
      </c>
      <c r="E6" s="24" t="s">
        <v>68</v>
      </c>
      <c r="F6" t="s">
        <v>69</v>
      </c>
    </row>
    <row r="7" spans="1:6">
      <c r="A7" s="21">
        <v>4</v>
      </c>
      <c r="B7" s="21">
        <v>3.9</v>
      </c>
      <c r="C7" s="22">
        <v>3.9</v>
      </c>
      <c r="D7" s="21">
        <v>3.8</v>
      </c>
      <c r="E7">
        <v>4</v>
      </c>
      <c r="F7" t="s">
        <v>67</v>
      </c>
    </row>
    <row r="8" spans="1:6">
      <c r="A8" s="23">
        <v>5</v>
      </c>
      <c r="B8" s="23">
        <v>12.5</v>
      </c>
      <c r="C8" s="25">
        <v>30</v>
      </c>
      <c r="D8" s="23">
        <v>77.599999999999994</v>
      </c>
      <c r="E8" s="23">
        <v>24.5</v>
      </c>
      <c r="F8" s="23" t="s">
        <v>70</v>
      </c>
    </row>
    <row r="9" spans="1:6">
      <c r="A9" s="21">
        <v>6</v>
      </c>
      <c r="B9" s="21">
        <v>5.7</v>
      </c>
      <c r="C9" s="22">
        <v>5.5</v>
      </c>
      <c r="D9" s="21">
        <v>5.2</v>
      </c>
      <c r="E9">
        <v>4.0999999999999996</v>
      </c>
      <c r="F9" t="s">
        <v>67</v>
      </c>
    </row>
    <row r="10" spans="1:6">
      <c r="A10" s="21">
        <v>7</v>
      </c>
      <c r="B10" s="21">
        <v>3.4</v>
      </c>
      <c r="C10" s="22">
        <v>3.6</v>
      </c>
      <c r="D10" s="21">
        <v>3.8</v>
      </c>
      <c r="E10">
        <v>4.8</v>
      </c>
      <c r="F10" s="21" t="s">
        <v>67</v>
      </c>
    </row>
    <row r="11" spans="1:6">
      <c r="A11" s="21">
        <v>8</v>
      </c>
      <c r="B11" s="21">
        <v>4.5</v>
      </c>
      <c r="C11" s="22">
        <v>5.0999999999999996</v>
      </c>
      <c r="D11" s="21">
        <v>5.0999999999999996</v>
      </c>
      <c r="E11">
        <v>4.3</v>
      </c>
      <c r="F11" s="21" t="s">
        <v>67</v>
      </c>
    </row>
    <row r="12" spans="1:6">
      <c r="A12" s="21">
        <v>9</v>
      </c>
      <c r="B12" s="21">
        <v>4.5999999999999996</v>
      </c>
      <c r="C12" s="22">
        <v>5.2</v>
      </c>
      <c r="D12" s="21">
        <v>5</v>
      </c>
      <c r="E12">
        <v>4.9000000000000004</v>
      </c>
      <c r="F12" s="21" t="s">
        <v>67</v>
      </c>
    </row>
    <row r="13" spans="1:6">
      <c r="A13" s="21">
        <v>10</v>
      </c>
      <c r="B13" s="21">
        <v>5</v>
      </c>
      <c r="C13" s="22">
        <v>5.0999999999999996</v>
      </c>
      <c r="D13" s="21">
        <v>4.5</v>
      </c>
      <c r="E13">
        <v>3.9</v>
      </c>
      <c r="F13" s="21" t="s">
        <v>67</v>
      </c>
    </row>
    <row r="14" spans="1:6">
      <c r="A14" s="21">
        <v>11</v>
      </c>
      <c r="B14" s="21">
        <v>4.5999999999999996</v>
      </c>
      <c r="C14" s="22">
        <v>5.4</v>
      </c>
      <c r="D14" s="21">
        <v>4.5</v>
      </c>
      <c r="E14">
        <v>5.3</v>
      </c>
      <c r="F14" s="21" t="s">
        <v>67</v>
      </c>
    </row>
    <row r="15" spans="1:6">
      <c r="A15" s="21">
        <v>12</v>
      </c>
      <c r="B15" s="21">
        <v>3.7</v>
      </c>
      <c r="C15" s="22">
        <v>3.8</v>
      </c>
      <c r="D15" s="21">
        <v>3.9</v>
      </c>
      <c r="E15">
        <v>4.5999999999999996</v>
      </c>
      <c r="F15" s="21" t="s">
        <v>67</v>
      </c>
    </row>
    <row r="16" spans="1:6">
      <c r="A16" s="21">
        <v>13</v>
      </c>
      <c r="B16" s="21">
        <v>5.6</v>
      </c>
      <c r="C16" s="22">
        <v>5.4</v>
      </c>
      <c r="D16" s="21">
        <v>5.7</v>
      </c>
      <c r="E16">
        <v>3.8</v>
      </c>
      <c r="F16" s="21" t="s">
        <v>67</v>
      </c>
    </row>
    <row r="17" spans="1:6">
      <c r="A17" s="21">
        <v>14</v>
      </c>
      <c r="B17" s="21">
        <v>5.4</v>
      </c>
      <c r="C17" s="22">
        <v>5.2</v>
      </c>
      <c r="D17" s="21">
        <v>4.8</v>
      </c>
      <c r="E17">
        <v>4.7</v>
      </c>
      <c r="F17" s="21" t="s">
        <v>67</v>
      </c>
    </row>
    <row r="18" spans="1:6">
      <c r="A18" s="21">
        <v>15</v>
      </c>
      <c r="B18" s="21">
        <v>5.0999999999999996</v>
      </c>
      <c r="C18" s="22">
        <v>4.8</v>
      </c>
      <c r="D18" s="21">
        <v>4.8</v>
      </c>
      <c r="E18">
        <v>5.2</v>
      </c>
      <c r="F18" s="21" t="s">
        <v>67</v>
      </c>
    </row>
    <row r="19" spans="1:6">
      <c r="A19" s="21">
        <v>16</v>
      </c>
      <c r="B19" s="21">
        <v>5</v>
      </c>
      <c r="C19" s="22">
        <v>5.7</v>
      </c>
      <c r="D19" s="21">
        <v>5.7</v>
      </c>
      <c r="E19">
        <v>5.3</v>
      </c>
      <c r="F19" s="21" t="s">
        <v>67</v>
      </c>
    </row>
    <row r="20" spans="1:6">
      <c r="A20" s="21">
        <v>17</v>
      </c>
      <c r="B20" s="21">
        <v>5.7</v>
      </c>
      <c r="C20" s="22">
        <v>5.9</v>
      </c>
      <c r="D20" s="21">
        <v>6.5</v>
      </c>
      <c r="E20">
        <v>5</v>
      </c>
      <c r="F20" s="21" t="s">
        <v>67</v>
      </c>
    </row>
    <row r="21" spans="1:6">
      <c r="A21" s="21">
        <v>18</v>
      </c>
      <c r="B21" s="21">
        <v>6.8</v>
      </c>
      <c r="C21" s="22">
        <v>6</v>
      </c>
      <c r="D21" s="21">
        <v>6.5</v>
      </c>
      <c r="E21">
        <v>3.7</v>
      </c>
      <c r="F21" s="21" t="s">
        <v>67</v>
      </c>
    </row>
    <row r="22" spans="1:6">
      <c r="A22" s="21">
        <v>19</v>
      </c>
      <c r="B22" s="21">
        <v>5.0999999999999996</v>
      </c>
      <c r="C22" s="22">
        <v>3.8</v>
      </c>
      <c r="D22" s="21">
        <v>3.9</v>
      </c>
      <c r="E22">
        <v>4.8</v>
      </c>
      <c r="F22" s="21" t="s">
        <v>67</v>
      </c>
    </row>
    <row r="23" spans="1:6" ht="15.75" customHeight="1">
      <c r="A23" s="21">
        <v>20</v>
      </c>
      <c r="B23" s="21">
        <v>3.7</v>
      </c>
      <c r="C23" s="22">
        <v>5.9</v>
      </c>
      <c r="D23" s="21">
        <v>7.1</v>
      </c>
      <c r="E23">
        <v>5.2</v>
      </c>
      <c r="F23" s="21" t="s">
        <v>67</v>
      </c>
    </row>
    <row r="24" spans="1:6" ht="15.75" customHeight="1">
      <c r="A24" s="21">
        <v>21</v>
      </c>
      <c r="B24" s="21">
        <v>5.4</v>
      </c>
      <c r="C24" s="22">
        <v>5.5</v>
      </c>
      <c r="D24" s="21">
        <v>6.2</v>
      </c>
      <c r="E24">
        <v>5.2</v>
      </c>
      <c r="F24" s="21" t="s">
        <v>67</v>
      </c>
    </row>
    <row r="25" spans="1:6" ht="15.75" customHeight="1">
      <c r="A25" s="21">
        <v>22</v>
      </c>
      <c r="B25" s="21">
        <v>5</v>
      </c>
      <c r="C25" s="22">
        <v>5.3</v>
      </c>
      <c r="D25" s="21">
        <v>6.7</v>
      </c>
      <c r="E25">
        <v>4.8</v>
      </c>
      <c r="F25" s="21" t="s">
        <v>67</v>
      </c>
    </row>
    <row r="26" spans="1:6" ht="15.75" customHeight="1">
      <c r="A26" s="21">
        <v>23</v>
      </c>
      <c r="B26" s="21">
        <v>4.8</v>
      </c>
      <c r="C26" s="22">
        <v>6.5</v>
      </c>
      <c r="D26" s="21">
        <v>10.9</v>
      </c>
      <c r="E26">
        <v>4.9000000000000004</v>
      </c>
      <c r="F26" s="21" t="s">
        <v>67</v>
      </c>
    </row>
    <row r="27" spans="1:6" ht="15.75" customHeight="1">
      <c r="A27" s="21">
        <v>24</v>
      </c>
      <c r="B27" s="21">
        <v>5.9</v>
      </c>
      <c r="C27" s="22">
        <v>3.6</v>
      </c>
      <c r="D27" s="21">
        <v>3.8</v>
      </c>
      <c r="E27" s="23">
        <v>69.7</v>
      </c>
      <c r="F27" s="23" t="s">
        <v>70</v>
      </c>
    </row>
    <row r="28" spans="1:6" ht="15.75" customHeight="1">
      <c r="A28" s="21">
        <v>25</v>
      </c>
      <c r="B28" s="21">
        <v>5.3</v>
      </c>
      <c r="C28" s="26">
        <v>118.3</v>
      </c>
      <c r="D28" s="23">
        <v>43.3</v>
      </c>
      <c r="E28">
        <v>3.6</v>
      </c>
      <c r="F28" t="s">
        <v>67</v>
      </c>
    </row>
    <row r="29" spans="1:6" ht="15.75" customHeight="1">
      <c r="A29" s="21">
        <v>26</v>
      </c>
      <c r="B29" s="21">
        <v>3.8</v>
      </c>
      <c r="C29" s="22">
        <v>6.3</v>
      </c>
      <c r="D29" s="21">
        <v>6.7</v>
      </c>
      <c r="E29" s="23">
        <v>127.4</v>
      </c>
      <c r="F29" s="23" t="s">
        <v>70</v>
      </c>
    </row>
    <row r="30" spans="1:6" ht="15.75" customHeight="1">
      <c r="A30" s="23">
        <v>27</v>
      </c>
      <c r="B30" s="23">
        <v>125.9</v>
      </c>
      <c r="C30" s="22">
        <v>5.2</v>
      </c>
      <c r="D30" s="21">
        <v>4.5999999999999996</v>
      </c>
      <c r="E30">
        <v>10</v>
      </c>
      <c r="F30" t="s">
        <v>67</v>
      </c>
    </row>
    <row r="31" spans="1:6" ht="15.75" customHeight="1">
      <c r="A31" s="21">
        <v>28</v>
      </c>
      <c r="B31" s="21">
        <v>4.9000000000000004</v>
      </c>
      <c r="C31" s="22">
        <v>6.4</v>
      </c>
      <c r="D31" s="21">
        <v>4.5999999999999996</v>
      </c>
      <c r="E31">
        <v>5.5</v>
      </c>
      <c r="F31" s="21" t="s">
        <v>67</v>
      </c>
    </row>
    <row r="32" spans="1:6" ht="15.75" customHeight="1">
      <c r="A32" s="21">
        <v>29</v>
      </c>
      <c r="B32" s="21">
        <v>4.5</v>
      </c>
      <c r="C32" s="22">
        <v>6.2</v>
      </c>
      <c r="D32" s="21">
        <v>5.4</v>
      </c>
      <c r="E32">
        <v>5.0999999999999996</v>
      </c>
      <c r="F32" s="21" t="s">
        <v>67</v>
      </c>
    </row>
    <row r="33" spans="1:6" ht="15.75" customHeight="1">
      <c r="A33" s="21">
        <v>30</v>
      </c>
      <c r="B33" s="21">
        <v>4.4000000000000004</v>
      </c>
      <c r="C33" s="22">
        <v>5.6</v>
      </c>
      <c r="D33" s="21">
        <v>8.8000000000000007</v>
      </c>
      <c r="E33">
        <v>4.7</v>
      </c>
      <c r="F33" s="21" t="s">
        <v>67</v>
      </c>
    </row>
    <row r="34" spans="1:6" ht="15.75" customHeight="1">
      <c r="A34" s="21">
        <v>31</v>
      </c>
      <c r="B34" s="21">
        <v>5.0999999999999996</v>
      </c>
      <c r="C34" s="22">
        <v>4.5</v>
      </c>
      <c r="D34" s="21">
        <v>5.5</v>
      </c>
      <c r="E34">
        <v>5.4</v>
      </c>
      <c r="F34" s="21" t="s">
        <v>67</v>
      </c>
    </row>
    <row r="35" spans="1:6" ht="15.75" customHeight="1">
      <c r="A35" s="21">
        <v>32</v>
      </c>
      <c r="B35" s="21">
        <v>4.5999999999999996</v>
      </c>
      <c r="C35" s="22">
        <v>5.4</v>
      </c>
      <c r="D35" s="21">
        <v>4.5</v>
      </c>
      <c r="E35">
        <v>5.3</v>
      </c>
      <c r="F35" s="21" t="s">
        <v>67</v>
      </c>
    </row>
    <row r="36" spans="1:6" ht="15.75" customHeight="1">
      <c r="A36" s="21">
        <v>33</v>
      </c>
      <c r="B36" s="21">
        <v>5.8</v>
      </c>
      <c r="C36" s="22">
        <v>4.0999999999999996</v>
      </c>
      <c r="D36" s="21">
        <v>3.9</v>
      </c>
      <c r="E36">
        <v>4.5</v>
      </c>
      <c r="F36" s="21" t="s">
        <v>67</v>
      </c>
    </row>
    <row r="37" spans="1:6" ht="15.75" customHeight="1">
      <c r="A37" s="21">
        <v>34</v>
      </c>
      <c r="B37" s="21">
        <v>7</v>
      </c>
      <c r="C37" s="22">
        <v>3.8</v>
      </c>
      <c r="D37" s="21">
        <v>3.8</v>
      </c>
      <c r="E37">
        <v>4.3</v>
      </c>
      <c r="F37" s="21" t="s">
        <v>67</v>
      </c>
    </row>
    <row r="38" spans="1:6" ht="15.75" customHeight="1">
      <c r="A38" s="21">
        <v>35</v>
      </c>
      <c r="B38" s="21">
        <v>5</v>
      </c>
      <c r="C38" s="22">
        <v>4.8</v>
      </c>
      <c r="D38" s="21">
        <v>4.9000000000000004</v>
      </c>
      <c r="E38">
        <v>4.0999999999999996</v>
      </c>
      <c r="F38" s="21" t="s">
        <v>67</v>
      </c>
    </row>
    <row r="39" spans="1:6" ht="15.75" customHeight="1">
      <c r="A39" s="21">
        <v>36</v>
      </c>
      <c r="B39" s="21">
        <v>4.5</v>
      </c>
      <c r="C39" s="22">
        <v>7.6</v>
      </c>
      <c r="D39" s="21">
        <v>8.3000000000000007</v>
      </c>
      <c r="E39">
        <v>5.3</v>
      </c>
      <c r="F39" s="21" t="s">
        <v>67</v>
      </c>
    </row>
    <row r="40" spans="1:6" ht="15.75" customHeight="1">
      <c r="A40" s="21">
        <v>37</v>
      </c>
      <c r="B40" s="21">
        <v>4.5999999999999996</v>
      </c>
      <c r="C40" s="22">
        <v>5.7</v>
      </c>
      <c r="D40" s="21">
        <v>5.4</v>
      </c>
      <c r="E40">
        <v>9.3000000000000007</v>
      </c>
      <c r="F40" s="21" t="s">
        <v>67</v>
      </c>
    </row>
    <row r="41" spans="1:6" ht="15.75" customHeight="1">
      <c r="A41" s="21">
        <v>38</v>
      </c>
      <c r="B41" s="21">
        <v>5</v>
      </c>
      <c r="C41" s="22">
        <v>6.7</v>
      </c>
      <c r="D41" s="21">
        <v>4.5999999999999996</v>
      </c>
      <c r="E41">
        <v>8.1</v>
      </c>
      <c r="F41" s="21" t="s">
        <v>67</v>
      </c>
    </row>
    <row r="42" spans="1:6" ht="15.75" customHeight="1">
      <c r="A42" s="21">
        <v>39</v>
      </c>
      <c r="B42" s="21">
        <v>5.7</v>
      </c>
      <c r="C42" s="22">
        <v>6.1</v>
      </c>
      <c r="D42" s="21">
        <v>4.9000000000000004</v>
      </c>
      <c r="E42">
        <v>4.8</v>
      </c>
      <c r="F42" s="21" t="s">
        <v>67</v>
      </c>
    </row>
    <row r="43" spans="1:6" ht="15.75" customHeight="1">
      <c r="A43" s="21">
        <v>40</v>
      </c>
      <c r="B43" s="21">
        <v>8.1999999999999993</v>
      </c>
      <c r="C43" s="22">
        <v>5.2</v>
      </c>
      <c r="D43" s="21">
        <v>5.2</v>
      </c>
      <c r="E43">
        <v>5</v>
      </c>
      <c r="F43" s="21" t="s">
        <v>67</v>
      </c>
    </row>
    <row r="44" spans="1:6" ht="15.75" customHeight="1">
      <c r="A44" s="21">
        <v>41</v>
      </c>
      <c r="B44" s="21">
        <v>3.9</v>
      </c>
      <c r="C44" s="22">
        <v>5.6</v>
      </c>
      <c r="D44" s="21">
        <v>4.9000000000000004</v>
      </c>
      <c r="E44">
        <v>5</v>
      </c>
      <c r="F44" s="21" t="s">
        <v>67</v>
      </c>
    </row>
    <row r="45" spans="1:6" ht="15.75" customHeight="1">
      <c r="A45" s="21">
        <v>42</v>
      </c>
      <c r="B45" s="21">
        <v>5.6</v>
      </c>
      <c r="C45" s="22">
        <v>7.9</v>
      </c>
      <c r="D45" s="21">
        <v>6.7</v>
      </c>
      <c r="E45">
        <v>5.5</v>
      </c>
      <c r="F45" s="21" t="s">
        <v>67</v>
      </c>
    </row>
    <row r="46" spans="1:6" ht="15.75" customHeight="1">
      <c r="A46" s="21">
        <v>43</v>
      </c>
      <c r="B46" s="21">
        <v>6.4</v>
      </c>
      <c r="C46" s="22">
        <v>3.8</v>
      </c>
      <c r="D46" s="21">
        <v>3.5</v>
      </c>
      <c r="E46">
        <v>5.5</v>
      </c>
      <c r="F46" s="21" t="s">
        <v>67</v>
      </c>
    </row>
    <row r="47" spans="1:6" ht="15.75" customHeight="1">
      <c r="A47" s="21">
        <v>44</v>
      </c>
      <c r="B47" s="21">
        <v>6.9</v>
      </c>
      <c r="C47" s="22">
        <v>7.3</v>
      </c>
      <c r="D47" s="21">
        <v>6.2</v>
      </c>
      <c r="E47">
        <v>5.2</v>
      </c>
      <c r="F47" s="21" t="s">
        <v>67</v>
      </c>
    </row>
    <row r="48" spans="1:6" ht="15.75" customHeight="1">
      <c r="A48" s="21">
        <v>45</v>
      </c>
      <c r="B48" s="21">
        <v>5.9</v>
      </c>
      <c r="C48" s="22">
        <v>5.5</v>
      </c>
      <c r="D48" s="21">
        <v>6</v>
      </c>
      <c r="E48">
        <v>7.9</v>
      </c>
      <c r="F48" s="21" t="s">
        <v>67</v>
      </c>
    </row>
    <row r="49" spans="1:6" ht="15.75" customHeight="1">
      <c r="A49" s="21">
        <v>46</v>
      </c>
      <c r="B49" s="21">
        <v>7.9</v>
      </c>
      <c r="C49" s="22">
        <v>7.2</v>
      </c>
      <c r="D49" s="21">
        <v>6.5</v>
      </c>
      <c r="E49">
        <v>3.7</v>
      </c>
      <c r="F49" s="21" t="s">
        <v>67</v>
      </c>
    </row>
    <row r="50" spans="1:6" ht="15.75" customHeight="1">
      <c r="A50" s="21">
        <v>47</v>
      </c>
      <c r="B50" s="21">
        <v>4.0999999999999996</v>
      </c>
      <c r="C50" s="22">
        <v>5.7</v>
      </c>
      <c r="D50" s="21">
        <v>5.7</v>
      </c>
      <c r="E50">
        <v>7.3</v>
      </c>
      <c r="F50" s="21" t="s">
        <v>67</v>
      </c>
    </row>
    <row r="51" spans="1:6" ht="15.75" customHeight="1">
      <c r="A51" s="21">
        <v>48</v>
      </c>
      <c r="B51" s="21">
        <v>5.8</v>
      </c>
      <c r="C51" s="22">
        <v>5.6</v>
      </c>
      <c r="D51" s="21">
        <v>5.5</v>
      </c>
      <c r="E51">
        <v>7.2</v>
      </c>
      <c r="F51" s="21" t="s">
        <v>67</v>
      </c>
    </row>
    <row r="52" spans="1:6" ht="15.75" customHeight="1">
      <c r="A52" s="21">
        <v>49</v>
      </c>
      <c r="B52" s="21">
        <v>5.8</v>
      </c>
      <c r="C52" s="22">
        <v>3.6</v>
      </c>
      <c r="D52" s="21">
        <v>3.9</v>
      </c>
      <c r="E52">
        <v>6.3</v>
      </c>
      <c r="F52" s="21" t="s">
        <v>67</v>
      </c>
    </row>
    <row r="53" spans="1:6" ht="15.75" customHeight="1">
      <c r="A53" s="21">
        <v>50</v>
      </c>
      <c r="B53" s="21">
        <v>6.6</v>
      </c>
      <c r="C53" s="22">
        <v>6.1</v>
      </c>
      <c r="D53" s="21">
        <v>5.7</v>
      </c>
      <c r="E53">
        <v>3.9</v>
      </c>
      <c r="F53" s="21" t="s">
        <v>67</v>
      </c>
    </row>
    <row r="54" spans="1:6" ht="15.75" customHeight="1">
      <c r="A54" s="21">
        <v>51</v>
      </c>
      <c r="B54" s="21">
        <v>6.4</v>
      </c>
      <c r="C54" s="22">
        <v>6.8</v>
      </c>
      <c r="D54" s="21">
        <v>6.1</v>
      </c>
      <c r="E54">
        <v>6.2</v>
      </c>
      <c r="F54" s="21" t="s">
        <v>67</v>
      </c>
    </row>
    <row r="55" spans="1:6" ht="15.75" customHeight="1">
      <c r="A55" s="21">
        <v>52</v>
      </c>
      <c r="B55" s="21">
        <v>6.8</v>
      </c>
      <c r="C55" s="22">
        <v>5.6</v>
      </c>
      <c r="D55" s="21">
        <v>5</v>
      </c>
      <c r="E55">
        <v>6.4</v>
      </c>
      <c r="F55" s="21" t="s">
        <v>67</v>
      </c>
    </row>
    <row r="56" spans="1:6" ht="15.75" customHeight="1">
      <c r="A56" s="21">
        <v>53</v>
      </c>
      <c r="B56" s="21">
        <v>3.7</v>
      </c>
      <c r="C56" s="22">
        <v>6.8</v>
      </c>
      <c r="D56" s="21">
        <v>6.6</v>
      </c>
      <c r="E56">
        <v>7.4</v>
      </c>
      <c r="F56" s="21" t="s">
        <v>67</v>
      </c>
    </row>
    <row r="57" spans="1:6" ht="15.75" customHeight="1">
      <c r="A57" s="21">
        <v>54</v>
      </c>
      <c r="B57" s="21">
        <v>6.3</v>
      </c>
      <c r="C57" s="22">
        <v>3.7</v>
      </c>
      <c r="D57" s="21">
        <v>3.7</v>
      </c>
      <c r="E57">
        <v>4</v>
      </c>
      <c r="F57" t="s">
        <v>67</v>
      </c>
    </row>
    <row r="58" spans="1:6" ht="15.75" customHeight="1">
      <c r="A58" s="21">
        <v>55</v>
      </c>
      <c r="B58" s="21">
        <v>3.6</v>
      </c>
      <c r="C58" s="22">
        <v>6.5</v>
      </c>
      <c r="D58" s="21">
        <v>5.9</v>
      </c>
      <c r="E58" s="27">
        <v>10.199999999999999</v>
      </c>
      <c r="F58" s="27" t="s">
        <v>71</v>
      </c>
    </row>
    <row r="59" spans="1:6" ht="15.75" customHeight="1">
      <c r="A59" s="21">
        <v>56</v>
      </c>
      <c r="B59" s="21">
        <v>6.8</v>
      </c>
      <c r="C59" s="22">
        <v>3.6</v>
      </c>
      <c r="D59" s="21">
        <v>3.7</v>
      </c>
      <c r="E59">
        <v>3.6</v>
      </c>
      <c r="F59" t="s">
        <v>67</v>
      </c>
    </row>
    <row r="60" spans="1:6" ht="15.75" customHeight="1">
      <c r="A60" s="21">
        <v>57</v>
      </c>
      <c r="B60" s="21">
        <v>3.8</v>
      </c>
      <c r="C60" s="22">
        <v>7.9</v>
      </c>
      <c r="D60" s="21">
        <v>7.5</v>
      </c>
      <c r="E60">
        <v>9.6</v>
      </c>
      <c r="F60" s="21" t="s">
        <v>67</v>
      </c>
    </row>
    <row r="61" spans="1:6" ht="15.75" customHeight="1">
      <c r="A61" s="21">
        <v>58</v>
      </c>
      <c r="B61" s="21">
        <v>8.3000000000000007</v>
      </c>
      <c r="C61" s="22">
        <v>3.8</v>
      </c>
      <c r="D61" s="21">
        <v>3.7</v>
      </c>
      <c r="E61">
        <v>3.5</v>
      </c>
      <c r="F61" s="21" t="s">
        <v>67</v>
      </c>
    </row>
    <row r="62" spans="1:6" ht="15.75" customHeight="1">
      <c r="A62" s="21">
        <v>59</v>
      </c>
      <c r="B62" s="21">
        <v>3.9</v>
      </c>
      <c r="C62" s="22">
        <v>8.3000000000000007</v>
      </c>
      <c r="D62" s="21">
        <v>8.6999999999999993</v>
      </c>
      <c r="E62">
        <v>6.6</v>
      </c>
      <c r="F62" s="21" t="s">
        <v>67</v>
      </c>
    </row>
    <row r="63" spans="1:6" ht="15.75" customHeight="1">
      <c r="A63" s="21">
        <v>60</v>
      </c>
      <c r="B63" s="21">
        <v>4.4000000000000004</v>
      </c>
      <c r="C63" s="22">
        <v>3.8</v>
      </c>
      <c r="D63" s="21">
        <v>4</v>
      </c>
      <c r="E63">
        <v>3.7</v>
      </c>
      <c r="F63" s="21" t="s">
        <v>67</v>
      </c>
    </row>
    <row r="64" spans="1:6" ht="15.75" customHeight="1">
      <c r="A64" s="21">
        <v>61</v>
      </c>
      <c r="B64" s="21">
        <v>4.2</v>
      </c>
      <c r="C64" s="22">
        <v>5.3</v>
      </c>
      <c r="D64" s="21">
        <v>5.3</v>
      </c>
      <c r="E64">
        <v>7.9</v>
      </c>
      <c r="F64" s="21" t="s">
        <v>67</v>
      </c>
    </row>
    <row r="65" spans="1:6" ht="15.75" customHeight="1">
      <c r="A65" s="21">
        <v>62</v>
      </c>
      <c r="B65" s="21">
        <v>4.5</v>
      </c>
      <c r="C65" s="22">
        <v>4.8</v>
      </c>
      <c r="D65" s="21">
        <v>4.2</v>
      </c>
      <c r="E65">
        <v>5.2</v>
      </c>
      <c r="F65" s="21" t="s">
        <v>67</v>
      </c>
    </row>
    <row r="66" spans="1:6" ht="15.75" customHeight="1">
      <c r="A66" s="21">
        <v>63</v>
      </c>
      <c r="B66" s="21">
        <v>4.7</v>
      </c>
      <c r="C66" s="22">
        <v>5.3</v>
      </c>
      <c r="D66" s="21">
        <v>4.5999999999999996</v>
      </c>
      <c r="E66">
        <v>7.8</v>
      </c>
      <c r="F66" s="21" t="s">
        <v>67</v>
      </c>
    </row>
    <row r="67" spans="1:6" ht="15.75" customHeight="1">
      <c r="A67" s="21">
        <v>64</v>
      </c>
      <c r="B67" s="21">
        <v>4.3</v>
      </c>
      <c r="C67" s="22">
        <v>4.9000000000000004</v>
      </c>
      <c r="D67" s="21">
        <v>4.9000000000000004</v>
      </c>
      <c r="E67">
        <v>4.4000000000000004</v>
      </c>
      <c r="F67" s="21" t="s">
        <v>67</v>
      </c>
    </row>
    <row r="68" spans="1:6" ht="15.75" customHeight="1">
      <c r="A68" s="21">
        <v>65</v>
      </c>
      <c r="B68" s="21">
        <v>4.5</v>
      </c>
      <c r="C68" s="22">
        <v>4.9000000000000004</v>
      </c>
      <c r="D68" s="21">
        <v>4.4000000000000004</v>
      </c>
      <c r="E68">
        <v>4.2</v>
      </c>
      <c r="F68" s="21" t="s">
        <v>67</v>
      </c>
    </row>
    <row r="69" spans="1:6" ht="15.75" customHeight="1">
      <c r="A69" s="21">
        <v>66</v>
      </c>
      <c r="B69" s="21">
        <v>4.2</v>
      </c>
      <c r="C69" s="22">
        <v>5.6</v>
      </c>
      <c r="D69" s="21">
        <v>5.6</v>
      </c>
      <c r="E69">
        <v>4.7</v>
      </c>
      <c r="F69" s="21" t="s">
        <v>67</v>
      </c>
    </row>
    <row r="70" spans="1:6" ht="15.75" customHeight="1">
      <c r="A70" s="21">
        <v>67</v>
      </c>
      <c r="B70" s="21">
        <v>4.0999999999999996</v>
      </c>
      <c r="C70" s="22">
        <v>4.7</v>
      </c>
      <c r="D70" s="21">
        <v>4.5</v>
      </c>
      <c r="E70">
        <v>5</v>
      </c>
      <c r="F70" s="21" t="s">
        <v>67</v>
      </c>
    </row>
    <row r="71" spans="1:6" ht="15.75" customHeight="1">
      <c r="A71" s="27">
        <v>68</v>
      </c>
      <c r="B71" s="27">
        <v>10.4</v>
      </c>
      <c r="C71" s="22">
        <v>4.5999999999999996</v>
      </c>
      <c r="D71" s="21">
        <v>6.1</v>
      </c>
      <c r="E71">
        <v>4.5</v>
      </c>
      <c r="F71" s="21" t="s">
        <v>67</v>
      </c>
    </row>
    <row r="72" spans="1:6" ht="15.75" customHeight="1">
      <c r="A72" s="21">
        <v>69</v>
      </c>
      <c r="B72" s="21">
        <v>4.4000000000000004</v>
      </c>
      <c r="C72" s="22">
        <v>6.1</v>
      </c>
      <c r="D72" s="21">
        <v>11.1</v>
      </c>
      <c r="E72">
        <v>5.5</v>
      </c>
      <c r="F72" s="21" t="s">
        <v>67</v>
      </c>
    </row>
    <row r="73" spans="1:6" ht="15.75" customHeight="1">
      <c r="A73" s="21">
        <v>70</v>
      </c>
      <c r="B73" s="21">
        <v>4</v>
      </c>
      <c r="C73" s="22">
        <v>4.8</v>
      </c>
      <c r="D73" s="21">
        <v>4.5999999999999996</v>
      </c>
      <c r="E73">
        <v>5</v>
      </c>
      <c r="F73" s="21" t="s">
        <v>67</v>
      </c>
    </row>
    <row r="74" spans="1:6" ht="15.75" customHeight="1">
      <c r="A74" s="21">
        <v>71</v>
      </c>
      <c r="B74" s="21">
        <v>4.4000000000000004</v>
      </c>
      <c r="C74" s="22">
        <v>4</v>
      </c>
      <c r="D74" s="21">
        <v>3.6</v>
      </c>
      <c r="E74">
        <v>4.7</v>
      </c>
      <c r="F74" t="s">
        <v>67</v>
      </c>
    </row>
    <row r="75" spans="1:6" ht="15.75" customHeight="1">
      <c r="A75" s="21">
        <v>72</v>
      </c>
      <c r="B75" s="21">
        <v>4.4000000000000004</v>
      </c>
      <c r="C75" s="22">
        <v>5.7</v>
      </c>
      <c r="D75" s="21">
        <v>4.5</v>
      </c>
      <c r="E75" s="23">
        <v>71.2</v>
      </c>
      <c r="F75" s="23" t="s">
        <v>70</v>
      </c>
    </row>
    <row r="76" spans="1:6" ht="15.75" customHeight="1">
      <c r="A76" s="21">
        <v>73</v>
      </c>
      <c r="B76" s="21">
        <v>7.6</v>
      </c>
      <c r="C76" s="22">
        <v>4.8</v>
      </c>
      <c r="D76" s="21">
        <v>4.5999999999999996</v>
      </c>
      <c r="E76">
        <v>5.9</v>
      </c>
      <c r="F76" t="s">
        <v>67</v>
      </c>
    </row>
    <row r="77" spans="1:6" ht="15.75" customHeight="1">
      <c r="A77" s="21">
        <v>74</v>
      </c>
      <c r="B77" s="21">
        <v>5.2</v>
      </c>
      <c r="C77" s="28">
        <v>11.1</v>
      </c>
      <c r="D77" s="23">
        <v>9999</v>
      </c>
      <c r="E77">
        <v>3.9</v>
      </c>
      <c r="F77" s="21" t="s">
        <v>67</v>
      </c>
    </row>
    <row r="78" spans="1:6" ht="15.75" customHeight="1">
      <c r="A78" s="21">
        <v>75</v>
      </c>
      <c r="B78" s="21">
        <v>4.4000000000000004</v>
      </c>
      <c r="C78" s="22">
        <v>5.0999999999999996</v>
      </c>
      <c r="D78" s="21">
        <v>5</v>
      </c>
      <c r="E78">
        <v>5.7</v>
      </c>
      <c r="F78" s="21" t="s">
        <v>67</v>
      </c>
    </row>
    <row r="79" spans="1:6" ht="15.75" customHeight="1">
      <c r="A79" s="21">
        <v>76</v>
      </c>
      <c r="B79" s="21">
        <v>4.5</v>
      </c>
      <c r="C79" s="22">
        <v>5.2</v>
      </c>
      <c r="D79" s="21">
        <v>4.7</v>
      </c>
      <c r="E79">
        <v>6.5</v>
      </c>
      <c r="F79" t="s">
        <v>67</v>
      </c>
    </row>
    <row r="80" spans="1:6" ht="15.75" customHeight="1">
      <c r="A80" s="21">
        <v>77</v>
      </c>
      <c r="B80" s="21">
        <v>4.5999999999999996</v>
      </c>
      <c r="C80" s="22">
        <v>4.4000000000000004</v>
      </c>
      <c r="D80" s="21">
        <v>4.8</v>
      </c>
      <c r="E80" s="24" t="s">
        <v>68</v>
      </c>
      <c r="F80" t="s">
        <v>72</v>
      </c>
    </row>
    <row r="81" spans="1:6" ht="15.75" customHeight="1">
      <c r="A81" s="21">
        <v>78</v>
      </c>
      <c r="B81" s="21">
        <v>5.2</v>
      </c>
      <c r="C81" s="22">
        <v>5.8</v>
      </c>
      <c r="D81" s="21">
        <v>4.5</v>
      </c>
      <c r="E81">
        <v>5.9</v>
      </c>
      <c r="F81" t="s">
        <v>67</v>
      </c>
    </row>
    <row r="82" spans="1:6" ht="15.75" customHeight="1">
      <c r="A82" s="21">
        <v>79</v>
      </c>
      <c r="B82" s="21">
        <v>4.2</v>
      </c>
      <c r="C82" s="22">
        <v>3.9</v>
      </c>
      <c r="D82" s="21">
        <v>4</v>
      </c>
      <c r="E82">
        <v>4.8</v>
      </c>
      <c r="F82" s="21" t="s">
        <v>67</v>
      </c>
    </row>
    <row r="83" spans="1:6" ht="15.75" customHeight="1">
      <c r="A83" s="21">
        <v>80</v>
      </c>
      <c r="B83" s="21">
        <v>6.1</v>
      </c>
      <c r="C83" s="22">
        <v>6.2</v>
      </c>
      <c r="D83" s="21">
        <v>4.8</v>
      </c>
      <c r="E83">
        <v>3.7</v>
      </c>
      <c r="F83" s="21" t="s">
        <v>67</v>
      </c>
    </row>
    <row r="84" spans="1:6" ht="15.75" customHeight="1">
      <c r="A84" s="21">
        <v>81</v>
      </c>
      <c r="B84" s="21">
        <v>4.2</v>
      </c>
      <c r="C84" s="22">
        <v>3.9</v>
      </c>
      <c r="D84" s="21">
        <v>4.0999999999999996</v>
      </c>
      <c r="E84">
        <v>4.5</v>
      </c>
      <c r="F84" s="21" t="s">
        <v>67</v>
      </c>
    </row>
    <row r="85" spans="1:6" ht="15.75" customHeight="1">
      <c r="A85" s="21">
        <v>82</v>
      </c>
      <c r="B85" s="21">
        <v>6.5</v>
      </c>
      <c r="C85" s="22">
        <v>5.7</v>
      </c>
      <c r="D85" s="21">
        <v>4.5</v>
      </c>
      <c r="E85">
        <v>4.8</v>
      </c>
      <c r="F85" s="21" t="s">
        <v>67</v>
      </c>
    </row>
    <row r="86" spans="1:6" ht="15.75" customHeight="1">
      <c r="A86" s="21">
        <v>83</v>
      </c>
      <c r="B86" s="21">
        <v>5.2</v>
      </c>
      <c r="C86" s="22">
        <v>5.5</v>
      </c>
      <c r="D86" s="21">
        <v>4.5999999999999996</v>
      </c>
      <c r="E86">
        <v>4.8</v>
      </c>
      <c r="F86" s="21" t="s">
        <v>67</v>
      </c>
    </row>
    <row r="87" spans="1:6" ht="15.75" customHeight="1">
      <c r="A87" s="21">
        <v>84</v>
      </c>
      <c r="B87" s="21">
        <v>4.8</v>
      </c>
      <c r="C87" s="22">
        <v>5.0999999999999996</v>
      </c>
      <c r="D87" s="21">
        <v>4.3</v>
      </c>
      <c r="E87">
        <v>3.6</v>
      </c>
      <c r="F87" s="21" t="s">
        <v>67</v>
      </c>
    </row>
    <row r="88" spans="1:6" ht="15.75" customHeight="1">
      <c r="A88" s="21">
        <v>85</v>
      </c>
      <c r="B88" s="21">
        <v>4.0999999999999996</v>
      </c>
      <c r="C88" s="22">
        <v>3.8</v>
      </c>
      <c r="D88" s="21">
        <v>4</v>
      </c>
      <c r="E88">
        <v>4.5</v>
      </c>
      <c r="F88" s="21" t="s">
        <v>67</v>
      </c>
    </row>
    <row r="89" spans="1:6" ht="15.75" customHeight="1">
      <c r="A89" s="21">
        <v>86</v>
      </c>
      <c r="B89" s="21">
        <v>4.9000000000000004</v>
      </c>
      <c r="C89" s="22">
        <v>6.4</v>
      </c>
      <c r="D89" s="21">
        <v>5.4</v>
      </c>
      <c r="E89">
        <v>4.7</v>
      </c>
      <c r="F89" s="21" t="s">
        <v>67</v>
      </c>
    </row>
    <row r="90" spans="1:6" ht="15.75" customHeight="1">
      <c r="A90" s="21">
        <v>87</v>
      </c>
      <c r="B90" s="21">
        <v>6.1</v>
      </c>
      <c r="C90" s="22">
        <v>5.4</v>
      </c>
      <c r="D90" s="21">
        <v>4.7</v>
      </c>
      <c r="E90">
        <v>4.4000000000000004</v>
      </c>
      <c r="F90" s="21" t="s">
        <v>67</v>
      </c>
    </row>
    <row r="91" spans="1:6" ht="15.75" customHeight="1">
      <c r="A91" s="21">
        <v>88</v>
      </c>
      <c r="B91" s="21">
        <v>5</v>
      </c>
      <c r="C91" s="22">
        <v>5.0999999999999996</v>
      </c>
      <c r="D91" s="21">
        <v>4.2</v>
      </c>
      <c r="E91">
        <v>3.9</v>
      </c>
      <c r="F91" s="21" t="s">
        <v>67</v>
      </c>
    </row>
    <row r="92" spans="1:6" ht="15.75" customHeight="1">
      <c r="A92" s="21">
        <v>89</v>
      </c>
      <c r="B92" s="21">
        <v>4.5999999999999996</v>
      </c>
      <c r="C92" s="22">
        <v>5.4</v>
      </c>
      <c r="D92" s="21">
        <v>4.8</v>
      </c>
      <c r="E92">
        <v>5.2</v>
      </c>
      <c r="F92" s="21" t="s">
        <v>67</v>
      </c>
    </row>
    <row r="93" spans="1:6" ht="15.75" customHeight="1">
      <c r="A93" s="21">
        <v>90</v>
      </c>
      <c r="B93" s="21">
        <v>4.0999999999999996</v>
      </c>
      <c r="C93" s="22">
        <v>5.8</v>
      </c>
      <c r="D93" s="21">
        <v>5.6</v>
      </c>
      <c r="E93">
        <v>4.9000000000000004</v>
      </c>
      <c r="F93" s="21" t="s">
        <v>67</v>
      </c>
    </row>
    <row r="94" spans="1:6" ht="15.75" customHeight="1">
      <c r="A94" s="21">
        <v>91</v>
      </c>
      <c r="B94" s="21">
        <v>4.9000000000000004</v>
      </c>
      <c r="C94" s="22">
        <v>4.9000000000000004</v>
      </c>
      <c r="D94" s="21">
        <v>5.3</v>
      </c>
      <c r="E94">
        <v>4.2</v>
      </c>
      <c r="F94" s="21" t="s">
        <v>67</v>
      </c>
    </row>
    <row r="95" spans="1:6" ht="15.75" customHeight="1">
      <c r="A95" s="21">
        <v>92</v>
      </c>
      <c r="B95" s="21">
        <v>5</v>
      </c>
      <c r="C95" s="22">
        <v>5</v>
      </c>
      <c r="D95" s="21">
        <v>4.5999999999999996</v>
      </c>
      <c r="E95">
        <v>4.7</v>
      </c>
      <c r="F95" s="21" t="s">
        <v>67</v>
      </c>
    </row>
    <row r="96" spans="1:6" ht="15.75" customHeight="1">
      <c r="A96" s="21">
        <v>93</v>
      </c>
      <c r="B96" s="21">
        <v>3.8</v>
      </c>
      <c r="C96" s="22">
        <v>4.3</v>
      </c>
      <c r="D96" s="21">
        <v>3.8</v>
      </c>
      <c r="E96">
        <v>4.9000000000000004</v>
      </c>
      <c r="F96" s="21" t="s">
        <v>67</v>
      </c>
    </row>
    <row r="97" spans="1:6" ht="15.75" customHeight="1">
      <c r="A97" s="21">
        <v>94</v>
      </c>
      <c r="B97" s="21">
        <v>4.8</v>
      </c>
      <c r="C97" s="22">
        <v>5.3</v>
      </c>
      <c r="D97" s="21">
        <v>3.6</v>
      </c>
      <c r="E97">
        <v>5</v>
      </c>
      <c r="F97" s="21" t="s">
        <v>67</v>
      </c>
    </row>
    <row r="98" spans="1:6" ht="15.75" customHeight="1">
      <c r="A98" s="21">
        <v>95</v>
      </c>
      <c r="B98" s="21">
        <v>4.3</v>
      </c>
      <c r="C98" s="22">
        <v>6.2</v>
      </c>
      <c r="D98" s="21">
        <v>4.4000000000000004</v>
      </c>
      <c r="E98">
        <v>4.7</v>
      </c>
      <c r="F98" s="21" t="s">
        <v>67</v>
      </c>
    </row>
    <row r="99" spans="1:6" ht="15.75" customHeight="1">
      <c r="A99" s="21">
        <v>96</v>
      </c>
      <c r="B99" s="21">
        <v>5.3</v>
      </c>
      <c r="C99" s="22">
        <v>7</v>
      </c>
      <c r="D99" s="21">
        <v>4.7</v>
      </c>
      <c r="E99">
        <v>3.9</v>
      </c>
      <c r="F99" s="21" t="s">
        <v>67</v>
      </c>
    </row>
    <row r="100" spans="1:6" ht="15.75" customHeight="1">
      <c r="A100" s="21">
        <v>97</v>
      </c>
      <c r="B100" s="21">
        <v>5.3</v>
      </c>
      <c r="C100" s="22">
        <v>6</v>
      </c>
      <c r="D100" s="21">
        <v>6.1</v>
      </c>
      <c r="E100">
        <v>3.6</v>
      </c>
      <c r="F100" s="21" t="s">
        <v>67</v>
      </c>
    </row>
    <row r="101" spans="1:6" ht="15.75" customHeight="1">
      <c r="A101" s="21">
        <v>98</v>
      </c>
      <c r="B101" s="21">
        <v>5.5</v>
      </c>
      <c r="C101" s="22">
        <v>5.7</v>
      </c>
      <c r="D101" s="21">
        <v>5.2</v>
      </c>
      <c r="E101">
        <v>4.5</v>
      </c>
      <c r="F101" s="21" t="s">
        <v>67</v>
      </c>
    </row>
    <row r="102" spans="1:6" ht="15.75" customHeight="1">
      <c r="A102" s="21">
        <v>99</v>
      </c>
      <c r="B102" s="21">
        <v>4.3</v>
      </c>
      <c r="C102" s="22">
        <v>5.0999999999999996</v>
      </c>
      <c r="D102" s="21">
        <v>4.5</v>
      </c>
      <c r="E102">
        <v>3.6</v>
      </c>
      <c r="F102" s="21" t="s">
        <v>67</v>
      </c>
    </row>
    <row r="103" spans="1:6" ht="15.75" customHeight="1">
      <c r="A103" s="21">
        <v>100</v>
      </c>
      <c r="B103" s="21">
        <v>4.3</v>
      </c>
      <c r="C103" s="22">
        <v>5.5</v>
      </c>
      <c r="D103" s="21">
        <v>3.6</v>
      </c>
      <c r="E103">
        <v>4.5999999999999996</v>
      </c>
      <c r="F103" s="21" t="s">
        <v>67</v>
      </c>
    </row>
    <row r="104" spans="1:6" ht="15.75" customHeight="1">
      <c r="A104" s="21">
        <v>101</v>
      </c>
      <c r="B104" s="21">
        <v>4.9000000000000004</v>
      </c>
      <c r="C104" s="22">
        <v>5</v>
      </c>
      <c r="D104" s="21">
        <v>4.7</v>
      </c>
      <c r="E104">
        <v>5.2</v>
      </c>
      <c r="F104" s="21" t="s">
        <v>67</v>
      </c>
    </row>
    <row r="105" spans="1:6" ht="15.75" customHeight="1">
      <c r="A105" s="21">
        <v>102</v>
      </c>
      <c r="B105" s="21">
        <v>3.7</v>
      </c>
      <c r="C105" s="22">
        <v>6.5</v>
      </c>
      <c r="D105" s="21">
        <v>3.7</v>
      </c>
      <c r="E105">
        <v>6.2</v>
      </c>
      <c r="F105" s="21" t="s">
        <v>67</v>
      </c>
    </row>
    <row r="106" spans="1:6" ht="15.75" customHeight="1">
      <c r="A106" s="21">
        <v>103</v>
      </c>
      <c r="B106" s="21">
        <v>5.6</v>
      </c>
      <c r="C106" s="22">
        <v>6.5</v>
      </c>
      <c r="D106" s="21">
        <v>6</v>
      </c>
      <c r="E106">
        <v>4.9000000000000004</v>
      </c>
      <c r="F106" s="21" t="s">
        <v>67</v>
      </c>
    </row>
    <row r="107" spans="1:6" ht="15.75" customHeight="1">
      <c r="A107" s="21">
        <v>104</v>
      </c>
      <c r="B107" s="21">
        <v>5</v>
      </c>
      <c r="C107" s="22">
        <v>6.3</v>
      </c>
      <c r="D107" s="21">
        <v>5.3</v>
      </c>
      <c r="E107">
        <v>4.9000000000000004</v>
      </c>
      <c r="F107" s="21" t="s">
        <v>67</v>
      </c>
    </row>
    <row r="108" spans="1:6" ht="15.75" customHeight="1">
      <c r="A108" s="21">
        <v>105</v>
      </c>
      <c r="B108" s="21">
        <v>5.6</v>
      </c>
      <c r="C108" s="22">
        <v>5.4</v>
      </c>
      <c r="D108" s="21">
        <v>5.3</v>
      </c>
      <c r="E108">
        <v>3.6</v>
      </c>
      <c r="F108" s="21" t="s">
        <v>67</v>
      </c>
    </row>
    <row r="109" spans="1:6" ht="15.75" customHeight="1">
      <c r="A109" s="21">
        <v>106</v>
      </c>
      <c r="B109" s="21">
        <v>4.5999999999999996</v>
      </c>
      <c r="C109" s="22">
        <v>5.6</v>
      </c>
      <c r="D109" s="21">
        <v>4.0999999999999996</v>
      </c>
      <c r="E109">
        <v>7.1</v>
      </c>
      <c r="F109" s="21" t="s">
        <v>67</v>
      </c>
    </row>
    <row r="110" spans="1:6" ht="15.75" customHeight="1">
      <c r="A110" s="21">
        <v>107</v>
      </c>
      <c r="B110" s="21">
        <v>4.5</v>
      </c>
      <c r="C110" s="22">
        <v>6.7</v>
      </c>
      <c r="D110" s="21">
        <v>4.2</v>
      </c>
      <c r="E110">
        <v>6.6</v>
      </c>
      <c r="F110" s="21" t="s">
        <v>67</v>
      </c>
    </row>
    <row r="111" spans="1:6" ht="15.75" customHeight="1">
      <c r="A111" s="21">
        <v>108</v>
      </c>
      <c r="B111" s="21">
        <v>6.4</v>
      </c>
      <c r="C111" s="22">
        <v>5.6</v>
      </c>
      <c r="D111" s="21">
        <v>5.2</v>
      </c>
      <c r="E111">
        <v>6.7</v>
      </c>
      <c r="F111" s="21" t="s">
        <v>67</v>
      </c>
    </row>
    <row r="112" spans="1:6" ht="15.75" customHeight="1">
      <c r="A112" s="21">
        <v>109</v>
      </c>
      <c r="B112" s="21">
        <v>4.2</v>
      </c>
      <c r="C112" s="22">
        <v>7.3</v>
      </c>
      <c r="D112" s="21">
        <v>4.5999999999999996</v>
      </c>
      <c r="E112">
        <v>5.7</v>
      </c>
      <c r="F112" s="21" t="s">
        <v>67</v>
      </c>
    </row>
    <row r="113" spans="1:6" ht="15.75" customHeight="1">
      <c r="A113" s="21">
        <v>110</v>
      </c>
      <c r="B113" s="21">
        <v>4.3</v>
      </c>
      <c r="C113" s="22">
        <v>4.9000000000000004</v>
      </c>
      <c r="D113" s="21">
        <v>4.5</v>
      </c>
      <c r="E113">
        <v>5.7</v>
      </c>
      <c r="F113" s="21" t="s">
        <v>67</v>
      </c>
    </row>
    <row r="114" spans="1:6" ht="15.75" customHeight="1">
      <c r="A114" s="21">
        <v>111</v>
      </c>
      <c r="B114" s="21">
        <v>4.8</v>
      </c>
      <c r="C114" s="22">
        <v>6.6</v>
      </c>
      <c r="D114" s="21">
        <v>4.2</v>
      </c>
      <c r="E114">
        <v>5.7</v>
      </c>
      <c r="F114" s="21" t="s">
        <v>67</v>
      </c>
    </row>
    <row r="115" spans="1:6" ht="15.75" customHeight="1">
      <c r="A115" s="21">
        <v>112</v>
      </c>
      <c r="B115" s="21">
        <v>6.6</v>
      </c>
      <c r="C115" s="22">
        <v>5.5</v>
      </c>
      <c r="D115" s="21">
        <v>4.4000000000000004</v>
      </c>
      <c r="E115">
        <v>4.5999999999999996</v>
      </c>
      <c r="F115" s="21" t="s">
        <v>67</v>
      </c>
    </row>
    <row r="116" spans="1:6" ht="15.75" customHeight="1">
      <c r="A116" s="21">
        <v>113</v>
      </c>
      <c r="B116" s="21">
        <v>5.2</v>
      </c>
      <c r="C116" s="22">
        <v>3.7</v>
      </c>
      <c r="D116" s="21">
        <v>4.4000000000000004</v>
      </c>
      <c r="E116">
        <v>4.5999999999999996</v>
      </c>
      <c r="F116" s="21" t="s">
        <v>67</v>
      </c>
    </row>
    <row r="117" spans="1:6" ht="15.75" customHeight="1">
      <c r="A117" s="21">
        <v>114</v>
      </c>
      <c r="B117" s="21">
        <v>3.8</v>
      </c>
      <c r="C117" s="22">
        <v>5.5</v>
      </c>
      <c r="D117" s="21">
        <v>3.8</v>
      </c>
      <c r="E117">
        <v>4.5999999999999996</v>
      </c>
      <c r="F117" s="21" t="s">
        <v>67</v>
      </c>
    </row>
    <row r="118" spans="1:6" ht="15.75" customHeight="1">
      <c r="A118" s="21">
        <v>115</v>
      </c>
      <c r="B118" s="21">
        <v>5.3</v>
      </c>
      <c r="C118" s="22">
        <v>4.0999999999999996</v>
      </c>
      <c r="D118" s="21">
        <v>5.8</v>
      </c>
      <c r="E118">
        <v>5.7</v>
      </c>
      <c r="F118" s="21" t="s">
        <v>67</v>
      </c>
    </row>
    <row r="119" spans="1:6" ht="15.75" customHeight="1">
      <c r="A119" s="21">
        <v>116</v>
      </c>
      <c r="B119" s="21">
        <v>4.0999999999999996</v>
      </c>
      <c r="C119" s="22">
        <v>6.3</v>
      </c>
      <c r="D119" s="21">
        <v>4</v>
      </c>
      <c r="E119">
        <v>4.4000000000000004</v>
      </c>
      <c r="F119" s="21" t="s">
        <v>67</v>
      </c>
    </row>
    <row r="120" spans="1:6" ht="15.75" customHeight="1">
      <c r="A120" s="21">
        <v>117</v>
      </c>
      <c r="B120" s="21">
        <v>5.8</v>
      </c>
      <c r="C120" s="22">
        <v>6.7</v>
      </c>
      <c r="D120" s="21">
        <v>4.5</v>
      </c>
      <c r="E120">
        <v>4.5</v>
      </c>
      <c r="F120" s="21" t="s">
        <v>67</v>
      </c>
    </row>
    <row r="121" spans="1:6" ht="15.75" customHeight="1">
      <c r="A121" s="21">
        <v>118</v>
      </c>
      <c r="B121" s="21">
        <v>6.2</v>
      </c>
      <c r="C121" s="22">
        <v>6</v>
      </c>
      <c r="D121" s="23">
        <v>63.8</v>
      </c>
      <c r="E121">
        <v>4.2</v>
      </c>
      <c r="F121" s="21" t="s">
        <v>67</v>
      </c>
    </row>
    <row r="122" spans="1:6" ht="15.75" customHeight="1">
      <c r="A122" s="21">
        <v>119</v>
      </c>
      <c r="B122" s="21">
        <v>5.7</v>
      </c>
      <c r="C122" s="22">
        <v>6</v>
      </c>
      <c r="D122" s="21">
        <v>5.2</v>
      </c>
      <c r="E122">
        <v>4.5</v>
      </c>
      <c r="F122" s="21" t="s">
        <v>67</v>
      </c>
    </row>
    <row r="123" spans="1:6" ht="15.75" customHeight="1">
      <c r="A123" s="21">
        <v>120</v>
      </c>
      <c r="B123" s="21">
        <v>5.4</v>
      </c>
      <c r="C123" s="22">
        <v>5.9</v>
      </c>
      <c r="D123" s="21">
        <v>4.5</v>
      </c>
      <c r="E123">
        <v>4.5999999999999996</v>
      </c>
      <c r="F123" s="21" t="s">
        <v>67</v>
      </c>
    </row>
    <row r="124" spans="1:6" ht="15.75" customHeight="1">
      <c r="C124" s="21"/>
      <c r="D124" s="21"/>
    </row>
    <row r="125" spans="1:6" ht="15.75" customHeight="1">
      <c r="C125" s="21"/>
      <c r="D125" s="21"/>
    </row>
    <row r="126" spans="1:6" ht="15.75" customHeight="1">
      <c r="C126" s="21"/>
      <c r="D126" s="21"/>
    </row>
    <row r="127" spans="1:6" ht="15.75" customHeight="1">
      <c r="C127" s="21"/>
      <c r="D127" s="21"/>
    </row>
    <row r="128" spans="1:6" ht="15.75" customHeight="1">
      <c r="C128" s="21"/>
      <c r="D128" s="21"/>
    </row>
    <row r="129" spans="3:4" ht="15.75" customHeight="1">
      <c r="C129" s="21"/>
      <c r="D129" s="21"/>
    </row>
    <row r="130" spans="3:4" ht="15.75" customHeight="1">
      <c r="C130" s="21"/>
      <c r="D130" s="21"/>
    </row>
    <row r="131" spans="3:4" ht="15.75" customHeight="1">
      <c r="C131" s="21"/>
      <c r="D131" s="21"/>
    </row>
    <row r="132" spans="3:4" ht="15.75" customHeight="1">
      <c r="C132" s="21"/>
      <c r="D132" s="21"/>
    </row>
    <row r="133" spans="3:4" ht="15.75" customHeight="1">
      <c r="C133" s="21"/>
      <c r="D133" s="21"/>
    </row>
    <row r="134" spans="3:4" ht="15.75" customHeight="1">
      <c r="C134" s="21"/>
      <c r="D134" s="21"/>
    </row>
    <row r="135" spans="3:4" ht="15.75" customHeight="1">
      <c r="C135" s="21"/>
      <c r="D135" s="21"/>
    </row>
    <row r="136" spans="3:4" ht="15.75" customHeight="1">
      <c r="C136" s="21"/>
      <c r="D136" s="21"/>
    </row>
    <row r="137" spans="3:4" ht="15.75" customHeight="1">
      <c r="C137" s="21"/>
      <c r="D137" s="21"/>
    </row>
    <row r="138" spans="3:4" ht="15.75" customHeight="1">
      <c r="C138" s="21"/>
      <c r="D138" s="21"/>
    </row>
    <row r="139" spans="3:4" ht="15.75" customHeight="1">
      <c r="C139" s="21"/>
      <c r="D139" s="21"/>
    </row>
    <row r="140" spans="3:4" ht="15.75" customHeight="1">
      <c r="C140" s="21"/>
      <c r="D140" s="21"/>
    </row>
    <row r="141" spans="3:4" ht="15.75" customHeight="1">
      <c r="C141" s="21"/>
      <c r="D141" s="21"/>
    </row>
    <row r="142" spans="3:4" ht="15.75" customHeight="1">
      <c r="C142" s="21"/>
      <c r="D142" s="21"/>
    </row>
    <row r="143" spans="3:4" ht="15.75" customHeight="1">
      <c r="C143" s="21"/>
      <c r="D143" s="21"/>
    </row>
    <row r="144" spans="3:4" ht="15.75" customHeight="1">
      <c r="C144" s="21"/>
      <c r="D144" s="21"/>
    </row>
    <row r="145" spans="3:4" ht="15.75" customHeight="1">
      <c r="C145" s="21"/>
      <c r="D145" s="21"/>
    </row>
    <row r="146" spans="3:4" ht="15.75" customHeight="1">
      <c r="C146" s="21"/>
      <c r="D146" s="21"/>
    </row>
    <row r="147" spans="3:4" ht="15.75" customHeight="1">
      <c r="C147" s="21"/>
      <c r="D147" s="21"/>
    </row>
    <row r="148" spans="3:4" ht="15.75" customHeight="1">
      <c r="C148" s="21"/>
      <c r="D148" s="21"/>
    </row>
    <row r="149" spans="3:4" ht="15.75" customHeight="1">
      <c r="C149" s="21"/>
      <c r="D149" s="21"/>
    </row>
    <row r="150" spans="3:4" ht="15.75" customHeight="1">
      <c r="C150" s="21"/>
      <c r="D150" s="21"/>
    </row>
    <row r="151" spans="3:4" ht="15.75" customHeight="1">
      <c r="C151" s="21"/>
      <c r="D151" s="21"/>
    </row>
    <row r="152" spans="3:4" ht="15.75" customHeight="1">
      <c r="C152" s="21"/>
      <c r="D152" s="21"/>
    </row>
    <row r="153" spans="3:4" ht="15.75" customHeight="1">
      <c r="C153" s="21"/>
      <c r="D153" s="21"/>
    </row>
    <row r="154" spans="3:4" ht="15.75" customHeight="1">
      <c r="C154" s="21"/>
      <c r="D154" s="21"/>
    </row>
    <row r="155" spans="3:4" ht="15.75" customHeight="1">
      <c r="C155" s="21"/>
      <c r="D155" s="21"/>
    </row>
    <row r="156" spans="3:4" ht="15.75" customHeight="1">
      <c r="C156" s="21"/>
      <c r="D156" s="21"/>
    </row>
    <row r="157" spans="3:4" ht="15.75" customHeight="1">
      <c r="C157" s="21"/>
      <c r="D157" s="21"/>
    </row>
    <row r="158" spans="3:4" ht="15.75" customHeight="1">
      <c r="C158" s="21"/>
      <c r="D158" s="21"/>
    </row>
    <row r="159" spans="3:4" ht="15.75" customHeight="1">
      <c r="C159" s="21"/>
      <c r="D159" s="21"/>
    </row>
    <row r="160" spans="3:4" ht="15.75" customHeight="1">
      <c r="C160" s="21"/>
      <c r="D160" s="21"/>
    </row>
    <row r="161" spans="3:4" ht="15.75" customHeight="1">
      <c r="C161" s="21"/>
      <c r="D161" s="21"/>
    </row>
    <row r="162" spans="3:4" ht="15.75" customHeight="1">
      <c r="C162" s="21"/>
      <c r="D162" s="21"/>
    </row>
    <row r="163" spans="3:4" ht="15.75" customHeight="1">
      <c r="C163" s="21"/>
      <c r="D163" s="21"/>
    </row>
    <row r="164" spans="3:4" ht="15.75" customHeight="1">
      <c r="C164" s="21"/>
      <c r="D164" s="21"/>
    </row>
    <row r="165" spans="3:4" ht="15.75" customHeight="1">
      <c r="C165" s="21"/>
      <c r="D165" s="21"/>
    </row>
    <row r="166" spans="3:4" ht="15.75" customHeight="1">
      <c r="C166" s="21"/>
      <c r="D166" s="21"/>
    </row>
    <row r="167" spans="3:4" ht="15.75" customHeight="1">
      <c r="C167" s="21"/>
      <c r="D167" s="21"/>
    </row>
    <row r="168" spans="3:4" ht="15.75" customHeight="1">
      <c r="C168" s="21"/>
      <c r="D168" s="21"/>
    </row>
    <row r="169" spans="3:4" ht="15.75" customHeight="1">
      <c r="C169" s="21"/>
      <c r="D169" s="21"/>
    </row>
    <row r="170" spans="3:4" ht="15.75" customHeight="1">
      <c r="C170" s="21"/>
      <c r="D170" s="21"/>
    </row>
    <row r="171" spans="3:4" ht="15.75" customHeight="1">
      <c r="C171" s="21"/>
      <c r="D171" s="21"/>
    </row>
    <row r="172" spans="3:4" ht="15.75" customHeight="1">
      <c r="C172" s="21"/>
      <c r="D172" s="21"/>
    </row>
    <row r="173" spans="3:4" ht="15.75" customHeight="1">
      <c r="C173" s="21"/>
      <c r="D173" s="21"/>
    </row>
    <row r="174" spans="3:4" ht="15.75" customHeight="1">
      <c r="C174" s="21"/>
      <c r="D174" s="21"/>
    </row>
    <row r="175" spans="3:4" ht="15.75" customHeight="1">
      <c r="C175" s="21"/>
      <c r="D175" s="21"/>
    </row>
    <row r="176" spans="3:4" ht="15.75" customHeight="1">
      <c r="C176" s="21"/>
      <c r="D176" s="21"/>
    </row>
    <row r="177" spans="3:4" ht="15.75" customHeight="1">
      <c r="C177" s="21"/>
      <c r="D177" s="21"/>
    </row>
    <row r="178" spans="3:4" ht="15.75" customHeight="1">
      <c r="C178" s="21"/>
      <c r="D178" s="21"/>
    </row>
    <row r="179" spans="3:4" ht="15.75" customHeight="1">
      <c r="C179" s="21"/>
      <c r="D179" s="21"/>
    </row>
    <row r="180" spans="3:4" ht="15.75" customHeight="1">
      <c r="C180" s="21"/>
      <c r="D180" s="21"/>
    </row>
    <row r="181" spans="3:4" ht="15.75" customHeight="1">
      <c r="C181" s="21"/>
      <c r="D181" s="21"/>
    </row>
    <row r="182" spans="3:4" ht="15.75" customHeight="1">
      <c r="C182" s="21"/>
      <c r="D182" s="21"/>
    </row>
    <row r="183" spans="3:4" ht="15.75" customHeight="1">
      <c r="C183" s="21"/>
      <c r="D183" s="21"/>
    </row>
    <row r="184" spans="3:4" ht="15.75" customHeight="1">
      <c r="C184" s="21"/>
      <c r="D184" s="21"/>
    </row>
    <row r="185" spans="3:4" ht="15.75" customHeight="1">
      <c r="C185" s="21"/>
      <c r="D185" s="21"/>
    </row>
    <row r="186" spans="3:4" ht="15.75" customHeight="1">
      <c r="C186" s="21"/>
      <c r="D186" s="21"/>
    </row>
    <row r="187" spans="3:4" ht="15.75" customHeight="1">
      <c r="C187" s="21"/>
      <c r="D187" s="21"/>
    </row>
    <row r="188" spans="3:4" ht="15.75" customHeight="1">
      <c r="C188" s="21"/>
      <c r="D188" s="21"/>
    </row>
    <row r="189" spans="3:4" ht="15.75" customHeight="1">
      <c r="C189" s="21"/>
      <c r="D189" s="21"/>
    </row>
    <row r="190" spans="3:4" ht="15.75" customHeight="1">
      <c r="C190" s="21"/>
      <c r="D190" s="21"/>
    </row>
    <row r="191" spans="3:4" ht="15.75" customHeight="1">
      <c r="C191" s="21"/>
      <c r="D191" s="21"/>
    </row>
    <row r="192" spans="3:4" ht="15.75" customHeight="1">
      <c r="C192" s="21"/>
      <c r="D192" s="21"/>
    </row>
    <row r="193" spans="3:4" ht="15.75" customHeight="1">
      <c r="C193" s="21"/>
      <c r="D193" s="21"/>
    </row>
    <row r="194" spans="3:4" ht="15.75" customHeight="1">
      <c r="C194" s="21"/>
      <c r="D194" s="21"/>
    </row>
    <row r="195" spans="3:4" ht="15.75" customHeight="1">
      <c r="C195" s="21"/>
      <c r="D195" s="21"/>
    </row>
    <row r="196" spans="3:4" ht="15.75" customHeight="1">
      <c r="C196" s="21"/>
      <c r="D196" s="21"/>
    </row>
    <row r="197" spans="3:4" ht="15.75" customHeight="1">
      <c r="C197" s="21"/>
      <c r="D197" s="21"/>
    </row>
    <row r="198" spans="3:4" ht="15.75" customHeight="1">
      <c r="C198" s="21"/>
      <c r="D198" s="21"/>
    </row>
    <row r="199" spans="3:4" ht="15.75" customHeight="1">
      <c r="C199" s="21"/>
      <c r="D199" s="21"/>
    </row>
    <row r="200" spans="3:4" ht="15.75" customHeight="1">
      <c r="C200" s="21"/>
      <c r="D200" s="21"/>
    </row>
    <row r="201" spans="3:4" ht="15.75" customHeight="1">
      <c r="C201" s="21"/>
      <c r="D201" s="21"/>
    </row>
    <row r="202" spans="3:4" ht="15.75" customHeight="1">
      <c r="C202" s="21"/>
      <c r="D202" s="21"/>
    </row>
    <row r="203" spans="3:4" ht="15.75" customHeight="1">
      <c r="C203" s="21"/>
      <c r="D203" s="21"/>
    </row>
    <row r="204" spans="3:4" ht="15.75" customHeight="1">
      <c r="C204" s="21"/>
      <c r="D204" s="21"/>
    </row>
    <row r="205" spans="3:4" ht="15.75" customHeight="1">
      <c r="C205" s="21"/>
      <c r="D205" s="21"/>
    </row>
    <row r="206" spans="3:4" ht="15.75" customHeight="1">
      <c r="C206" s="21"/>
      <c r="D206" s="21"/>
    </row>
    <row r="207" spans="3:4" ht="15.75" customHeight="1">
      <c r="C207" s="21"/>
      <c r="D207" s="21"/>
    </row>
    <row r="208" spans="3:4" ht="15.75" customHeight="1">
      <c r="C208" s="21"/>
      <c r="D208" s="21"/>
    </row>
    <row r="209" spans="3:4" ht="15.75" customHeight="1">
      <c r="C209" s="21"/>
      <c r="D209" s="21"/>
    </row>
    <row r="210" spans="3:4" ht="15.75" customHeight="1">
      <c r="C210" s="21"/>
      <c r="D210" s="21"/>
    </row>
    <row r="211" spans="3:4" ht="15.75" customHeight="1">
      <c r="C211" s="21"/>
      <c r="D211" s="21"/>
    </row>
    <row r="212" spans="3:4" ht="15.75" customHeight="1">
      <c r="C212" s="21"/>
      <c r="D212" s="21"/>
    </row>
    <row r="213" spans="3:4" ht="15.75" customHeight="1">
      <c r="C213" s="21"/>
      <c r="D213" s="21"/>
    </row>
    <row r="214" spans="3:4" ht="15.75" customHeight="1">
      <c r="C214" s="21"/>
      <c r="D214" s="21"/>
    </row>
    <row r="215" spans="3:4" ht="15.75" customHeight="1">
      <c r="C215" s="21"/>
      <c r="D215" s="21"/>
    </row>
    <row r="216" spans="3:4" ht="15.75" customHeight="1">
      <c r="C216" s="21"/>
      <c r="D216" s="21"/>
    </row>
    <row r="217" spans="3:4" ht="15.75" customHeight="1">
      <c r="C217" s="21"/>
      <c r="D217" s="21"/>
    </row>
    <row r="218" spans="3:4" ht="15.75" customHeight="1">
      <c r="C218" s="21"/>
      <c r="D218" s="21"/>
    </row>
    <row r="219" spans="3:4" ht="15.75" customHeight="1">
      <c r="C219" s="21"/>
      <c r="D219" s="21"/>
    </row>
    <row r="220" spans="3:4" ht="15.75" customHeight="1">
      <c r="C220" s="21"/>
      <c r="D220" s="21"/>
    </row>
    <row r="221" spans="3:4" ht="15.75" customHeight="1">
      <c r="C221" s="21"/>
      <c r="D221" s="21"/>
    </row>
    <row r="222" spans="3:4" ht="15.75" customHeight="1">
      <c r="C222" s="21"/>
      <c r="D222" s="21"/>
    </row>
    <row r="223" spans="3:4" ht="15.75" customHeight="1">
      <c r="C223" s="21"/>
      <c r="D223" s="21"/>
    </row>
    <row r="224" spans="3:4" ht="15.75" customHeight="1">
      <c r="C224" s="21"/>
      <c r="D224" s="21"/>
    </row>
    <row r="225" spans="3:4" ht="15.75" customHeight="1">
      <c r="C225" s="21"/>
      <c r="D225" s="21"/>
    </row>
    <row r="226" spans="3:4" ht="15.75" customHeight="1">
      <c r="C226" s="21"/>
      <c r="D226" s="21"/>
    </row>
    <row r="227" spans="3:4" ht="15.75" customHeight="1">
      <c r="C227" s="21"/>
      <c r="D227" s="21"/>
    </row>
    <row r="228" spans="3:4" ht="15.75" customHeight="1">
      <c r="C228" s="21"/>
      <c r="D228" s="21"/>
    </row>
    <row r="229" spans="3:4" ht="15.75" customHeight="1">
      <c r="C229" s="21"/>
      <c r="D229" s="21"/>
    </row>
    <row r="230" spans="3:4" ht="15.75" customHeight="1">
      <c r="C230" s="21"/>
      <c r="D230" s="21"/>
    </row>
    <row r="231" spans="3:4" ht="15.75" customHeight="1">
      <c r="C231" s="21"/>
      <c r="D231" s="21"/>
    </row>
    <row r="232" spans="3:4" ht="15.75" customHeight="1">
      <c r="C232" s="21"/>
      <c r="D232" s="21"/>
    </row>
    <row r="233" spans="3:4" ht="15.75" customHeight="1">
      <c r="C233" s="21"/>
      <c r="D233" s="21"/>
    </row>
    <row r="234" spans="3:4" ht="15.75" customHeight="1">
      <c r="C234" s="21"/>
      <c r="D234" s="21"/>
    </row>
    <row r="235" spans="3:4" ht="15.75" customHeight="1">
      <c r="C235" s="21"/>
      <c r="D235" s="21"/>
    </row>
    <row r="236" spans="3:4" ht="15.75" customHeight="1">
      <c r="C236" s="21"/>
      <c r="D236" s="21"/>
    </row>
    <row r="237" spans="3:4" ht="15.75" customHeight="1">
      <c r="C237" s="21"/>
      <c r="D237" s="21"/>
    </row>
    <row r="238" spans="3:4" ht="15.75" customHeight="1">
      <c r="C238" s="21"/>
      <c r="D238" s="21"/>
    </row>
    <row r="239" spans="3:4" ht="15.75" customHeight="1">
      <c r="C239" s="21"/>
      <c r="D239" s="21"/>
    </row>
    <row r="240" spans="3:4" ht="15.75" customHeight="1">
      <c r="C240" s="21"/>
      <c r="D240" s="21"/>
    </row>
    <row r="241" spans="3:4" ht="15.75" customHeight="1">
      <c r="C241" s="21"/>
      <c r="D241" s="21"/>
    </row>
    <row r="242" spans="3:4" ht="15.75" customHeight="1">
      <c r="C242" s="21"/>
      <c r="D242" s="21"/>
    </row>
    <row r="243" spans="3:4" ht="15.75" customHeight="1">
      <c r="C243" s="21"/>
      <c r="D243" s="21"/>
    </row>
    <row r="244" spans="3:4" ht="15.75" customHeight="1">
      <c r="C244" s="21"/>
      <c r="D244" s="21"/>
    </row>
    <row r="245" spans="3:4" ht="15.75" customHeight="1">
      <c r="C245" s="21"/>
      <c r="D245" s="21"/>
    </row>
    <row r="246" spans="3:4" ht="15.75" customHeight="1">
      <c r="C246" s="21"/>
      <c r="D246" s="21"/>
    </row>
    <row r="247" spans="3:4" ht="15.75" customHeight="1">
      <c r="C247" s="21"/>
      <c r="D247" s="21"/>
    </row>
    <row r="248" spans="3:4" ht="15.75" customHeight="1">
      <c r="C248" s="21"/>
      <c r="D248" s="21"/>
    </row>
    <row r="249" spans="3:4" ht="15.75" customHeight="1">
      <c r="C249" s="21"/>
      <c r="D249" s="21"/>
    </row>
    <row r="250" spans="3:4" ht="15.75" customHeight="1">
      <c r="C250" s="21"/>
      <c r="D250" s="21"/>
    </row>
    <row r="251" spans="3:4" ht="15.75" customHeight="1">
      <c r="C251" s="21"/>
      <c r="D251" s="21"/>
    </row>
    <row r="252" spans="3:4" ht="15.75" customHeight="1">
      <c r="C252" s="21"/>
      <c r="D252" s="21"/>
    </row>
    <row r="253" spans="3:4" ht="15.75" customHeight="1">
      <c r="C253" s="21"/>
      <c r="D253" s="21"/>
    </row>
    <row r="254" spans="3:4" ht="15.75" customHeight="1">
      <c r="C254" s="21"/>
      <c r="D254" s="21"/>
    </row>
    <row r="255" spans="3:4" ht="15.75" customHeight="1">
      <c r="C255" s="21"/>
      <c r="D255" s="21"/>
    </row>
    <row r="256" spans="3:4" ht="15.75" customHeight="1">
      <c r="C256" s="21"/>
      <c r="D256" s="21"/>
    </row>
    <row r="257" spans="3:4" ht="15.75" customHeight="1">
      <c r="C257" s="21"/>
      <c r="D257" s="21"/>
    </row>
    <row r="258" spans="3:4" ht="15.75" customHeight="1">
      <c r="C258" s="21"/>
      <c r="D258" s="21"/>
    </row>
    <row r="259" spans="3:4" ht="15.75" customHeight="1">
      <c r="C259" s="21"/>
      <c r="D259" s="21"/>
    </row>
    <row r="260" spans="3:4" ht="15.75" customHeight="1">
      <c r="C260" s="21"/>
      <c r="D260" s="21"/>
    </row>
    <row r="261" spans="3:4" ht="15.75" customHeight="1">
      <c r="C261" s="21"/>
      <c r="D261" s="21"/>
    </row>
    <row r="262" spans="3:4" ht="15.75" customHeight="1">
      <c r="C262" s="21"/>
      <c r="D262" s="21"/>
    </row>
    <row r="263" spans="3:4" ht="15.75" customHeight="1">
      <c r="C263" s="21"/>
      <c r="D263" s="21"/>
    </row>
    <row r="264" spans="3:4" ht="15.75" customHeight="1">
      <c r="C264" s="21"/>
      <c r="D264" s="21"/>
    </row>
    <row r="265" spans="3:4" ht="15.75" customHeight="1">
      <c r="C265" s="21"/>
      <c r="D265" s="21"/>
    </row>
    <row r="266" spans="3:4" ht="15.75" customHeight="1">
      <c r="C266" s="21"/>
      <c r="D266" s="21"/>
    </row>
    <row r="267" spans="3:4" ht="15.75" customHeight="1">
      <c r="C267" s="21"/>
      <c r="D267" s="21"/>
    </row>
    <row r="268" spans="3:4" ht="15.75" customHeight="1">
      <c r="C268" s="21"/>
      <c r="D268" s="21"/>
    </row>
    <row r="269" spans="3:4" ht="15.75" customHeight="1">
      <c r="C269" s="21"/>
      <c r="D269" s="21"/>
    </row>
    <row r="270" spans="3:4" ht="15.75" customHeight="1">
      <c r="C270" s="21"/>
      <c r="D270" s="21"/>
    </row>
    <row r="271" spans="3:4" ht="15.75" customHeight="1">
      <c r="C271" s="21"/>
      <c r="D271" s="21"/>
    </row>
    <row r="272" spans="3:4" ht="15.75" customHeight="1">
      <c r="C272" s="21"/>
      <c r="D272" s="21"/>
    </row>
    <row r="273" spans="3:4" ht="15.75" customHeight="1">
      <c r="C273" s="21"/>
      <c r="D273" s="21"/>
    </row>
    <row r="274" spans="3:4" ht="15.75" customHeight="1">
      <c r="C274" s="21"/>
      <c r="D274" s="21"/>
    </row>
    <row r="275" spans="3:4" ht="15.75" customHeight="1">
      <c r="C275" s="21"/>
      <c r="D275" s="21"/>
    </row>
    <row r="276" spans="3:4" ht="15.75" customHeight="1">
      <c r="C276" s="21"/>
      <c r="D276" s="21"/>
    </row>
    <row r="277" spans="3:4" ht="15.75" customHeight="1">
      <c r="C277" s="21"/>
      <c r="D277" s="21"/>
    </row>
    <row r="278" spans="3:4" ht="15.75" customHeight="1">
      <c r="C278" s="21"/>
      <c r="D278" s="21"/>
    </row>
    <row r="279" spans="3:4" ht="15.75" customHeight="1">
      <c r="C279" s="21"/>
      <c r="D279" s="21"/>
    </row>
    <row r="280" spans="3:4" ht="15.75" customHeight="1">
      <c r="C280" s="21"/>
      <c r="D280" s="21"/>
    </row>
    <row r="281" spans="3:4" ht="15.75" customHeight="1">
      <c r="C281" s="21"/>
      <c r="D281" s="21"/>
    </row>
    <row r="282" spans="3:4" ht="15.75" customHeight="1">
      <c r="C282" s="21"/>
      <c r="D282" s="21"/>
    </row>
    <row r="283" spans="3:4" ht="15.75" customHeight="1">
      <c r="C283" s="21"/>
      <c r="D283" s="21"/>
    </row>
    <row r="284" spans="3:4" ht="15.75" customHeight="1">
      <c r="C284" s="21"/>
      <c r="D284" s="21"/>
    </row>
    <row r="285" spans="3:4" ht="15.75" customHeight="1">
      <c r="C285" s="21"/>
      <c r="D285" s="21"/>
    </row>
    <row r="286" spans="3:4" ht="15.75" customHeight="1">
      <c r="C286" s="21"/>
      <c r="D286" s="21"/>
    </row>
    <row r="287" spans="3:4" ht="15.75" customHeight="1">
      <c r="C287" s="21"/>
      <c r="D287" s="21"/>
    </row>
    <row r="288" spans="3:4" ht="15.75" customHeight="1">
      <c r="C288" s="21"/>
      <c r="D288" s="21"/>
    </row>
    <row r="289" spans="3:4" ht="15.75" customHeight="1">
      <c r="C289" s="21"/>
      <c r="D289" s="21"/>
    </row>
    <row r="290" spans="3:4" ht="15.75" customHeight="1">
      <c r="C290" s="21"/>
      <c r="D290" s="21"/>
    </row>
    <row r="291" spans="3:4" ht="15.75" customHeight="1">
      <c r="C291" s="21"/>
      <c r="D291" s="21"/>
    </row>
    <row r="292" spans="3:4" ht="15.75" customHeight="1">
      <c r="C292" s="21"/>
      <c r="D292" s="21"/>
    </row>
    <row r="293" spans="3:4" ht="15.75" customHeight="1">
      <c r="C293" s="21"/>
      <c r="D293" s="21"/>
    </row>
    <row r="294" spans="3:4" ht="15.75" customHeight="1">
      <c r="C294" s="21"/>
      <c r="D294" s="21"/>
    </row>
    <row r="295" spans="3:4" ht="15.75" customHeight="1">
      <c r="C295" s="21"/>
      <c r="D295" s="21"/>
    </row>
    <row r="296" spans="3:4" ht="15.75" customHeight="1">
      <c r="C296" s="21"/>
      <c r="D296" s="21"/>
    </row>
    <row r="297" spans="3:4" ht="15.75" customHeight="1">
      <c r="C297" s="21"/>
      <c r="D297" s="21"/>
    </row>
    <row r="298" spans="3:4" ht="15.75" customHeight="1">
      <c r="C298" s="21"/>
      <c r="D298" s="21"/>
    </row>
    <row r="299" spans="3:4" ht="15.75" customHeight="1">
      <c r="C299" s="21"/>
      <c r="D299" s="21"/>
    </row>
    <row r="300" spans="3:4" ht="15.75" customHeight="1">
      <c r="C300" s="21"/>
      <c r="D300" s="21"/>
    </row>
    <row r="301" spans="3:4" ht="15.75" customHeight="1">
      <c r="C301" s="21"/>
      <c r="D301" s="21"/>
    </row>
    <row r="302" spans="3:4" ht="15.75" customHeight="1">
      <c r="C302" s="21"/>
      <c r="D302" s="21"/>
    </row>
    <row r="303" spans="3:4" ht="15.75" customHeight="1">
      <c r="C303" s="21"/>
      <c r="D303" s="21"/>
    </row>
    <row r="304" spans="3:4" ht="15.75" customHeight="1">
      <c r="C304" s="21"/>
      <c r="D304" s="21"/>
    </row>
    <row r="305" spans="3:4" ht="15.75" customHeight="1">
      <c r="C305" s="21"/>
      <c r="D305" s="21"/>
    </row>
    <row r="306" spans="3:4" ht="15.75" customHeight="1">
      <c r="C306" s="21"/>
      <c r="D306" s="21"/>
    </row>
    <row r="307" spans="3:4" ht="15.75" customHeight="1">
      <c r="C307" s="21"/>
      <c r="D307" s="21"/>
    </row>
    <row r="308" spans="3:4" ht="15.75" customHeight="1">
      <c r="C308" s="21"/>
      <c r="D308" s="21"/>
    </row>
    <row r="309" spans="3:4" ht="15.75" customHeight="1">
      <c r="C309" s="21"/>
      <c r="D309" s="21"/>
    </row>
    <row r="310" spans="3:4" ht="15.75" customHeight="1">
      <c r="C310" s="21"/>
      <c r="D310" s="21"/>
    </row>
    <row r="311" spans="3:4" ht="15.75" customHeight="1">
      <c r="C311" s="21"/>
      <c r="D311" s="21"/>
    </row>
    <row r="312" spans="3:4" ht="15.75" customHeight="1">
      <c r="C312" s="21"/>
      <c r="D312" s="21"/>
    </row>
    <row r="313" spans="3:4" ht="15.75" customHeight="1">
      <c r="C313" s="21"/>
      <c r="D313" s="21"/>
    </row>
    <row r="314" spans="3:4" ht="15.75" customHeight="1">
      <c r="C314" s="21"/>
      <c r="D314" s="21"/>
    </row>
    <row r="315" spans="3:4" ht="15.75" customHeight="1">
      <c r="C315" s="21"/>
      <c r="D315" s="21"/>
    </row>
    <row r="316" spans="3:4" ht="15.75" customHeight="1">
      <c r="C316" s="21"/>
      <c r="D316" s="21"/>
    </row>
    <row r="317" spans="3:4" ht="15.75" customHeight="1">
      <c r="C317" s="21"/>
      <c r="D317" s="21"/>
    </row>
    <row r="318" spans="3:4" ht="15.75" customHeight="1">
      <c r="C318" s="21"/>
      <c r="D318" s="21"/>
    </row>
    <row r="319" spans="3:4" ht="15.75" customHeight="1">
      <c r="C319" s="21"/>
      <c r="D319" s="21"/>
    </row>
    <row r="320" spans="3:4" ht="15.75" customHeight="1">
      <c r="C320" s="21"/>
      <c r="D320" s="21"/>
    </row>
    <row r="321" spans="3:4" ht="15.75" customHeight="1">
      <c r="C321" s="21"/>
      <c r="D321" s="21"/>
    </row>
    <row r="322" spans="3:4" ht="15.75" customHeight="1">
      <c r="C322" s="21"/>
      <c r="D322" s="21"/>
    </row>
    <row r="323" spans="3:4" ht="15.75" customHeight="1">
      <c r="C323" s="21"/>
      <c r="D323" s="21"/>
    </row>
    <row r="324" spans="3:4" ht="15.75" customHeight="1">
      <c r="C324" s="21"/>
      <c r="D324" s="21"/>
    </row>
    <row r="325" spans="3:4" ht="15.75" customHeight="1">
      <c r="C325" s="21"/>
      <c r="D325" s="21"/>
    </row>
    <row r="326" spans="3:4" ht="15.75" customHeight="1">
      <c r="C326" s="21"/>
      <c r="D326" s="21"/>
    </row>
    <row r="327" spans="3:4" ht="15.75" customHeight="1">
      <c r="C327" s="21"/>
      <c r="D327" s="21"/>
    </row>
    <row r="328" spans="3:4" ht="15.75" customHeight="1">
      <c r="C328" s="21"/>
      <c r="D328" s="21"/>
    </row>
    <row r="329" spans="3:4" ht="15.75" customHeight="1">
      <c r="C329" s="21"/>
      <c r="D329" s="21"/>
    </row>
    <row r="330" spans="3:4" ht="15.75" customHeight="1">
      <c r="C330" s="21"/>
      <c r="D330" s="21"/>
    </row>
    <row r="331" spans="3:4" ht="15.75" customHeight="1">
      <c r="C331" s="21"/>
      <c r="D331" s="21"/>
    </row>
    <row r="332" spans="3:4" ht="15.75" customHeight="1">
      <c r="C332" s="21"/>
      <c r="D332" s="21"/>
    </row>
    <row r="333" spans="3:4" ht="15.75" customHeight="1">
      <c r="C333" s="21"/>
      <c r="D333" s="21"/>
    </row>
    <row r="334" spans="3:4" ht="15.75" customHeight="1">
      <c r="C334" s="21"/>
      <c r="D334" s="21"/>
    </row>
    <row r="335" spans="3:4" ht="15.75" customHeight="1">
      <c r="C335" s="21"/>
      <c r="D335" s="21"/>
    </row>
    <row r="336" spans="3:4" ht="15.75" customHeight="1">
      <c r="C336" s="21"/>
      <c r="D336" s="21"/>
    </row>
    <row r="337" spans="3:4" ht="15.75" customHeight="1">
      <c r="C337" s="21"/>
      <c r="D337" s="21"/>
    </row>
    <row r="338" spans="3:4" ht="15.75" customHeight="1">
      <c r="C338" s="21"/>
      <c r="D338" s="21"/>
    </row>
    <row r="339" spans="3:4" ht="15.75" customHeight="1">
      <c r="C339" s="21"/>
      <c r="D339" s="21"/>
    </row>
    <row r="340" spans="3:4" ht="15.75" customHeight="1">
      <c r="C340" s="21"/>
      <c r="D340" s="21"/>
    </row>
    <row r="341" spans="3:4" ht="15.75" customHeight="1">
      <c r="C341" s="21"/>
      <c r="D341" s="21"/>
    </row>
    <row r="342" spans="3:4" ht="15.75" customHeight="1">
      <c r="C342" s="21"/>
      <c r="D342" s="21"/>
    </row>
    <row r="343" spans="3:4" ht="15.75" customHeight="1">
      <c r="C343" s="21"/>
      <c r="D343" s="21"/>
    </row>
    <row r="344" spans="3:4" ht="15.75" customHeight="1">
      <c r="C344" s="21"/>
      <c r="D344" s="21"/>
    </row>
    <row r="345" spans="3:4" ht="15.75" customHeight="1">
      <c r="C345" s="21"/>
      <c r="D345" s="21"/>
    </row>
    <row r="346" spans="3:4" ht="15.75" customHeight="1">
      <c r="C346" s="21"/>
      <c r="D346" s="21"/>
    </row>
    <row r="347" spans="3:4" ht="15.75" customHeight="1">
      <c r="C347" s="21"/>
      <c r="D347" s="21"/>
    </row>
    <row r="348" spans="3:4" ht="15.75" customHeight="1">
      <c r="C348" s="21"/>
      <c r="D348" s="21"/>
    </row>
    <row r="349" spans="3:4" ht="15.75" customHeight="1">
      <c r="C349" s="21"/>
      <c r="D349" s="21"/>
    </row>
    <row r="350" spans="3:4" ht="15.75" customHeight="1">
      <c r="C350" s="21"/>
      <c r="D350" s="21"/>
    </row>
    <row r="351" spans="3:4" ht="15.75" customHeight="1">
      <c r="C351" s="21"/>
      <c r="D351" s="21"/>
    </row>
    <row r="352" spans="3:4" ht="15.75" customHeight="1">
      <c r="C352" s="21"/>
      <c r="D352" s="21"/>
    </row>
    <row r="353" spans="3:4" ht="15.75" customHeight="1">
      <c r="C353" s="21"/>
      <c r="D353" s="21"/>
    </row>
    <row r="354" spans="3:4" ht="15.75" customHeight="1">
      <c r="C354" s="21"/>
      <c r="D354" s="21"/>
    </row>
    <row r="355" spans="3:4" ht="15.75" customHeight="1">
      <c r="C355" s="21"/>
      <c r="D355" s="21"/>
    </row>
    <row r="356" spans="3:4" ht="15.75" customHeight="1">
      <c r="C356" s="21"/>
      <c r="D356" s="21"/>
    </row>
    <row r="357" spans="3:4" ht="15.75" customHeight="1">
      <c r="C357" s="21"/>
      <c r="D357" s="21"/>
    </row>
    <row r="358" spans="3:4" ht="15.75" customHeight="1">
      <c r="C358" s="21"/>
      <c r="D358" s="21"/>
    </row>
    <row r="359" spans="3:4" ht="15.75" customHeight="1">
      <c r="C359" s="21"/>
      <c r="D359" s="21"/>
    </row>
    <row r="360" spans="3:4" ht="15.75" customHeight="1">
      <c r="C360" s="21"/>
      <c r="D360" s="21"/>
    </row>
    <row r="361" spans="3:4" ht="15.75" customHeight="1">
      <c r="C361" s="21"/>
      <c r="D361" s="21"/>
    </row>
    <row r="362" spans="3:4" ht="15.75" customHeight="1">
      <c r="C362" s="21"/>
      <c r="D362" s="21"/>
    </row>
    <row r="363" spans="3:4" ht="15.75" customHeight="1">
      <c r="C363" s="21"/>
      <c r="D363" s="21"/>
    </row>
    <row r="364" spans="3:4" ht="15.75" customHeight="1">
      <c r="C364" s="21"/>
      <c r="D364" s="21"/>
    </row>
    <row r="365" spans="3:4" ht="15.75" customHeight="1">
      <c r="C365" s="21"/>
      <c r="D365" s="21"/>
    </row>
    <row r="366" spans="3:4" ht="15.75" customHeight="1">
      <c r="C366" s="21"/>
      <c r="D366" s="21"/>
    </row>
    <row r="367" spans="3:4" ht="15.75" customHeight="1">
      <c r="C367" s="21"/>
      <c r="D367" s="21"/>
    </row>
    <row r="368" spans="3:4" ht="15.75" customHeight="1">
      <c r="C368" s="21"/>
      <c r="D368" s="21"/>
    </row>
    <row r="369" spans="3:4" ht="15.75" customHeight="1">
      <c r="C369" s="21"/>
      <c r="D369" s="21"/>
    </row>
    <row r="370" spans="3:4" ht="15.75" customHeight="1">
      <c r="C370" s="21"/>
      <c r="D370" s="21"/>
    </row>
    <row r="371" spans="3:4" ht="15.75" customHeight="1">
      <c r="C371" s="21"/>
      <c r="D371" s="21"/>
    </row>
    <row r="372" spans="3:4" ht="15.75" customHeight="1">
      <c r="C372" s="21"/>
      <c r="D372" s="21"/>
    </row>
    <row r="373" spans="3:4" ht="15.75" customHeight="1">
      <c r="C373" s="21"/>
      <c r="D373" s="21"/>
    </row>
    <row r="374" spans="3:4" ht="15.75" customHeight="1">
      <c r="C374" s="21"/>
      <c r="D374" s="21"/>
    </row>
    <row r="375" spans="3:4" ht="15.75" customHeight="1">
      <c r="C375" s="21"/>
      <c r="D375" s="21"/>
    </row>
    <row r="376" spans="3:4" ht="15.75" customHeight="1">
      <c r="C376" s="21"/>
      <c r="D376" s="21"/>
    </row>
    <row r="377" spans="3:4" ht="15.75" customHeight="1">
      <c r="C377" s="21"/>
      <c r="D377" s="21"/>
    </row>
    <row r="378" spans="3:4" ht="15.75" customHeight="1">
      <c r="C378" s="21"/>
      <c r="D378" s="21"/>
    </row>
    <row r="379" spans="3:4" ht="15.75" customHeight="1">
      <c r="C379" s="21"/>
      <c r="D379" s="21"/>
    </row>
    <row r="380" spans="3:4" ht="15.75" customHeight="1">
      <c r="C380" s="21"/>
      <c r="D380" s="21"/>
    </row>
    <row r="381" spans="3:4" ht="15.75" customHeight="1">
      <c r="C381" s="21"/>
      <c r="D381" s="21"/>
    </row>
    <row r="382" spans="3:4" ht="15.75" customHeight="1">
      <c r="C382" s="21"/>
      <c r="D382" s="21"/>
    </row>
    <row r="383" spans="3:4" ht="15.75" customHeight="1">
      <c r="C383" s="21"/>
      <c r="D383" s="21"/>
    </row>
    <row r="384" spans="3:4" ht="15.75" customHeight="1">
      <c r="C384" s="21"/>
      <c r="D384" s="21"/>
    </row>
    <row r="385" spans="3:4" ht="15.75" customHeight="1">
      <c r="C385" s="21"/>
      <c r="D385" s="21"/>
    </row>
    <row r="386" spans="3:4" ht="15.75" customHeight="1">
      <c r="C386" s="21"/>
      <c r="D386" s="21"/>
    </row>
    <row r="387" spans="3:4" ht="15.75" customHeight="1">
      <c r="C387" s="21"/>
      <c r="D387" s="21"/>
    </row>
    <row r="388" spans="3:4" ht="15.75" customHeight="1">
      <c r="C388" s="21"/>
      <c r="D388" s="21"/>
    </row>
    <row r="389" spans="3:4" ht="15.75" customHeight="1">
      <c r="C389" s="21"/>
      <c r="D389" s="21"/>
    </row>
    <row r="390" spans="3:4" ht="15.75" customHeight="1">
      <c r="C390" s="21"/>
      <c r="D390" s="21"/>
    </row>
    <row r="391" spans="3:4" ht="15.75" customHeight="1">
      <c r="C391" s="21"/>
      <c r="D391" s="21"/>
    </row>
    <row r="392" spans="3:4" ht="15.75" customHeight="1">
      <c r="C392" s="21"/>
      <c r="D392" s="21"/>
    </row>
    <row r="393" spans="3:4" ht="15.75" customHeight="1">
      <c r="C393" s="21"/>
      <c r="D393" s="21"/>
    </row>
    <row r="394" spans="3:4" ht="15.75" customHeight="1">
      <c r="C394" s="21"/>
      <c r="D394" s="21"/>
    </row>
    <row r="395" spans="3:4" ht="15.75" customHeight="1">
      <c r="C395" s="21"/>
      <c r="D395" s="21"/>
    </row>
    <row r="396" spans="3:4" ht="15.75" customHeight="1">
      <c r="C396" s="21"/>
      <c r="D396" s="21"/>
    </row>
    <row r="397" spans="3:4" ht="15.75" customHeight="1">
      <c r="C397" s="21"/>
      <c r="D397" s="21"/>
    </row>
    <row r="398" spans="3:4" ht="15.75" customHeight="1">
      <c r="C398" s="21"/>
      <c r="D398" s="21"/>
    </row>
    <row r="399" spans="3:4" ht="15.75" customHeight="1">
      <c r="C399" s="21"/>
      <c r="D399" s="21"/>
    </row>
    <row r="400" spans="3:4" ht="15.75" customHeight="1">
      <c r="C400" s="21"/>
      <c r="D400" s="21"/>
    </row>
    <row r="401" spans="3:4" ht="15.75" customHeight="1">
      <c r="C401" s="21"/>
      <c r="D401" s="21"/>
    </row>
    <row r="402" spans="3:4" ht="15.75" customHeight="1">
      <c r="C402" s="21"/>
      <c r="D402" s="21"/>
    </row>
    <row r="403" spans="3:4" ht="15.75" customHeight="1">
      <c r="C403" s="21"/>
      <c r="D403" s="21"/>
    </row>
    <row r="404" spans="3:4" ht="15.75" customHeight="1">
      <c r="C404" s="21"/>
      <c r="D404" s="21"/>
    </row>
    <row r="405" spans="3:4" ht="15.75" customHeight="1">
      <c r="C405" s="21"/>
      <c r="D405" s="21"/>
    </row>
    <row r="406" spans="3:4" ht="15.75" customHeight="1">
      <c r="C406" s="21"/>
      <c r="D406" s="21"/>
    </row>
    <row r="407" spans="3:4" ht="15.75" customHeight="1">
      <c r="C407" s="21"/>
      <c r="D407" s="21"/>
    </row>
    <row r="408" spans="3:4" ht="15.75" customHeight="1">
      <c r="C408" s="21"/>
      <c r="D408" s="21"/>
    </row>
    <row r="409" spans="3:4" ht="15.75" customHeight="1">
      <c r="C409" s="21"/>
      <c r="D409" s="21"/>
    </row>
    <row r="410" spans="3:4" ht="15.75" customHeight="1">
      <c r="C410" s="21"/>
      <c r="D410" s="21"/>
    </row>
    <row r="411" spans="3:4" ht="15.75" customHeight="1">
      <c r="C411" s="21"/>
      <c r="D411" s="21"/>
    </row>
    <row r="412" spans="3:4" ht="15.75" customHeight="1">
      <c r="C412" s="21"/>
      <c r="D412" s="21"/>
    </row>
    <row r="413" spans="3:4" ht="15.75" customHeight="1">
      <c r="C413" s="21"/>
      <c r="D413" s="21"/>
    </row>
    <row r="414" spans="3:4" ht="15.75" customHeight="1">
      <c r="C414" s="21"/>
      <c r="D414" s="21"/>
    </row>
    <row r="415" spans="3:4" ht="15.75" customHeight="1">
      <c r="C415" s="21"/>
      <c r="D415" s="21"/>
    </row>
    <row r="416" spans="3:4" ht="15.75" customHeight="1">
      <c r="C416" s="21"/>
      <c r="D416" s="21"/>
    </row>
    <row r="417" spans="3:4" ht="15.75" customHeight="1">
      <c r="C417" s="21"/>
      <c r="D417" s="21"/>
    </row>
    <row r="418" spans="3:4" ht="15.75" customHeight="1">
      <c r="C418" s="21"/>
      <c r="D418" s="21"/>
    </row>
    <row r="419" spans="3:4" ht="15.75" customHeight="1">
      <c r="C419" s="21"/>
      <c r="D419" s="21"/>
    </row>
    <row r="420" spans="3:4" ht="15.75" customHeight="1">
      <c r="C420" s="21"/>
      <c r="D420" s="21"/>
    </row>
    <row r="421" spans="3:4" ht="15.75" customHeight="1">
      <c r="C421" s="21"/>
      <c r="D421" s="21"/>
    </row>
    <row r="422" spans="3:4" ht="15.75" customHeight="1">
      <c r="C422" s="21"/>
      <c r="D422" s="21"/>
    </row>
    <row r="423" spans="3:4" ht="15.75" customHeight="1">
      <c r="C423" s="21"/>
      <c r="D423" s="21"/>
    </row>
    <row r="424" spans="3:4" ht="15.75" customHeight="1">
      <c r="C424" s="21"/>
      <c r="D424" s="21"/>
    </row>
    <row r="425" spans="3:4" ht="15.75" customHeight="1">
      <c r="C425" s="21"/>
      <c r="D425" s="21"/>
    </row>
    <row r="426" spans="3:4" ht="15.75" customHeight="1">
      <c r="C426" s="21"/>
      <c r="D426" s="21"/>
    </row>
    <row r="427" spans="3:4" ht="15.75" customHeight="1">
      <c r="C427" s="21"/>
      <c r="D427" s="21"/>
    </row>
    <row r="428" spans="3:4" ht="15.75" customHeight="1">
      <c r="C428" s="21"/>
      <c r="D428" s="21"/>
    </row>
    <row r="429" spans="3:4" ht="15.75" customHeight="1">
      <c r="C429" s="21"/>
      <c r="D429" s="21"/>
    </row>
    <row r="430" spans="3:4" ht="15.75" customHeight="1">
      <c r="C430" s="21"/>
      <c r="D430" s="21"/>
    </row>
    <row r="431" spans="3:4" ht="15.75" customHeight="1">
      <c r="C431" s="21"/>
      <c r="D431" s="21"/>
    </row>
    <row r="432" spans="3:4" ht="15.75" customHeight="1">
      <c r="C432" s="21"/>
      <c r="D432" s="21"/>
    </row>
    <row r="433" spans="3:4" ht="15.75" customHeight="1">
      <c r="C433" s="21"/>
      <c r="D433" s="21"/>
    </row>
    <row r="434" spans="3:4" ht="15.75" customHeight="1">
      <c r="C434" s="21"/>
      <c r="D434" s="21"/>
    </row>
    <row r="435" spans="3:4" ht="15.75" customHeight="1">
      <c r="C435" s="21"/>
      <c r="D435" s="21"/>
    </row>
    <row r="436" spans="3:4" ht="15.75" customHeight="1">
      <c r="C436" s="21"/>
      <c r="D436" s="21"/>
    </row>
    <row r="437" spans="3:4" ht="15.75" customHeight="1">
      <c r="C437" s="21"/>
      <c r="D437" s="21"/>
    </row>
    <row r="438" spans="3:4" ht="15.75" customHeight="1">
      <c r="C438" s="21"/>
      <c r="D438" s="21"/>
    </row>
    <row r="439" spans="3:4" ht="15.75" customHeight="1">
      <c r="C439" s="21"/>
      <c r="D439" s="21"/>
    </row>
    <row r="440" spans="3:4" ht="15.75" customHeight="1">
      <c r="C440" s="21"/>
      <c r="D440" s="21"/>
    </row>
    <row r="441" spans="3:4" ht="15.75" customHeight="1">
      <c r="C441" s="21"/>
      <c r="D441" s="21"/>
    </row>
    <row r="442" spans="3:4" ht="15.75" customHeight="1">
      <c r="C442" s="21"/>
      <c r="D442" s="21"/>
    </row>
    <row r="443" spans="3:4" ht="15.75" customHeight="1">
      <c r="C443" s="21"/>
      <c r="D443" s="21"/>
    </row>
    <row r="444" spans="3:4" ht="15.75" customHeight="1">
      <c r="C444" s="21"/>
      <c r="D444" s="21"/>
    </row>
    <row r="445" spans="3:4" ht="15.75" customHeight="1">
      <c r="C445" s="21"/>
      <c r="D445" s="21"/>
    </row>
    <row r="446" spans="3:4" ht="15.75" customHeight="1">
      <c r="C446" s="21"/>
      <c r="D446" s="21"/>
    </row>
    <row r="447" spans="3:4" ht="15.75" customHeight="1">
      <c r="C447" s="21"/>
      <c r="D447" s="21"/>
    </row>
    <row r="448" spans="3:4" ht="15.75" customHeight="1">
      <c r="C448" s="21"/>
      <c r="D448" s="21"/>
    </row>
    <row r="449" spans="3:4" ht="15.75" customHeight="1">
      <c r="C449" s="21"/>
      <c r="D449" s="21"/>
    </row>
    <row r="450" spans="3:4" ht="15.75" customHeight="1">
      <c r="C450" s="21"/>
      <c r="D450" s="21"/>
    </row>
    <row r="451" spans="3:4" ht="15.75" customHeight="1">
      <c r="C451" s="21"/>
      <c r="D451" s="21"/>
    </row>
    <row r="452" spans="3:4" ht="15.75" customHeight="1">
      <c r="C452" s="21"/>
      <c r="D452" s="21"/>
    </row>
    <row r="453" spans="3:4" ht="15.75" customHeight="1">
      <c r="C453" s="21"/>
      <c r="D453" s="21"/>
    </row>
    <row r="454" spans="3:4" ht="15.75" customHeight="1">
      <c r="C454" s="21"/>
      <c r="D454" s="21"/>
    </row>
    <row r="455" spans="3:4" ht="15.75" customHeight="1">
      <c r="C455" s="21"/>
      <c r="D455" s="21"/>
    </row>
    <row r="456" spans="3:4" ht="15.75" customHeight="1">
      <c r="C456" s="21"/>
      <c r="D456" s="21"/>
    </row>
    <row r="457" spans="3:4" ht="15.75" customHeight="1">
      <c r="C457" s="21"/>
      <c r="D457" s="21"/>
    </row>
    <row r="458" spans="3:4" ht="15.75" customHeight="1">
      <c r="C458" s="21"/>
      <c r="D458" s="21"/>
    </row>
    <row r="459" spans="3:4" ht="15.75" customHeight="1">
      <c r="C459" s="21"/>
      <c r="D459" s="21"/>
    </row>
    <row r="460" spans="3:4" ht="15.75" customHeight="1">
      <c r="C460" s="21"/>
      <c r="D460" s="21"/>
    </row>
    <row r="461" spans="3:4" ht="15.75" customHeight="1">
      <c r="C461" s="21"/>
      <c r="D461" s="21"/>
    </row>
    <row r="462" spans="3:4" ht="15.75" customHeight="1">
      <c r="C462" s="21"/>
      <c r="D462" s="21"/>
    </row>
    <row r="463" spans="3:4" ht="15.75" customHeight="1">
      <c r="C463" s="21"/>
      <c r="D463" s="21"/>
    </row>
    <row r="464" spans="3:4" ht="15.75" customHeight="1">
      <c r="C464" s="21"/>
      <c r="D464" s="21"/>
    </row>
    <row r="465" spans="3:4" ht="15.75" customHeight="1">
      <c r="C465" s="21"/>
      <c r="D465" s="21"/>
    </row>
    <row r="466" spans="3:4" ht="15.75" customHeight="1">
      <c r="C466" s="21"/>
      <c r="D466" s="21"/>
    </row>
    <row r="467" spans="3:4" ht="15.75" customHeight="1">
      <c r="C467" s="21"/>
      <c r="D467" s="21"/>
    </row>
    <row r="468" spans="3:4" ht="15.75" customHeight="1">
      <c r="C468" s="21"/>
      <c r="D468" s="21"/>
    </row>
    <row r="469" spans="3:4" ht="15.75" customHeight="1">
      <c r="C469" s="21"/>
      <c r="D469" s="21"/>
    </row>
    <row r="470" spans="3:4" ht="15.75" customHeight="1">
      <c r="C470" s="21"/>
      <c r="D470" s="21"/>
    </row>
    <row r="471" spans="3:4" ht="15.75" customHeight="1">
      <c r="C471" s="21"/>
      <c r="D471" s="21"/>
    </row>
    <row r="472" spans="3:4" ht="15.75" customHeight="1">
      <c r="C472" s="21"/>
      <c r="D472" s="21"/>
    </row>
    <row r="473" spans="3:4" ht="15.75" customHeight="1">
      <c r="C473" s="21"/>
      <c r="D473" s="21"/>
    </row>
    <row r="474" spans="3:4" ht="15.75" customHeight="1">
      <c r="C474" s="21"/>
      <c r="D474" s="21"/>
    </row>
    <row r="475" spans="3:4" ht="15.75" customHeight="1">
      <c r="C475" s="21"/>
      <c r="D475" s="21"/>
    </row>
    <row r="476" spans="3:4" ht="15.75" customHeight="1">
      <c r="C476" s="21"/>
      <c r="D476" s="21"/>
    </row>
    <row r="477" spans="3:4" ht="15.75" customHeight="1">
      <c r="C477" s="21"/>
      <c r="D477" s="21"/>
    </row>
    <row r="478" spans="3:4" ht="15.75" customHeight="1">
      <c r="C478" s="21"/>
      <c r="D478" s="21"/>
    </row>
    <row r="479" spans="3:4" ht="15.75" customHeight="1">
      <c r="C479" s="21"/>
      <c r="D479" s="21"/>
    </row>
    <row r="480" spans="3:4" ht="15.75" customHeight="1">
      <c r="C480" s="21"/>
      <c r="D480" s="21"/>
    </row>
    <row r="481" spans="3:4" ht="15.75" customHeight="1">
      <c r="C481" s="21"/>
      <c r="D481" s="21"/>
    </row>
    <row r="482" spans="3:4" ht="15.75" customHeight="1">
      <c r="C482" s="21"/>
      <c r="D482" s="21"/>
    </row>
    <row r="483" spans="3:4" ht="15.75" customHeight="1">
      <c r="C483" s="21"/>
      <c r="D483" s="21"/>
    </row>
    <row r="484" spans="3:4" ht="15.75" customHeight="1">
      <c r="C484" s="21"/>
      <c r="D484" s="21"/>
    </row>
    <row r="485" spans="3:4" ht="15.75" customHeight="1">
      <c r="C485" s="21"/>
      <c r="D485" s="21"/>
    </row>
    <row r="486" spans="3:4" ht="15.75" customHeight="1">
      <c r="C486" s="21"/>
      <c r="D486" s="21"/>
    </row>
    <row r="487" spans="3:4" ht="15.75" customHeight="1">
      <c r="C487" s="21"/>
      <c r="D487" s="21"/>
    </row>
    <row r="488" spans="3:4" ht="15.75" customHeight="1">
      <c r="C488" s="21"/>
      <c r="D488" s="21"/>
    </row>
    <row r="489" spans="3:4" ht="15.75" customHeight="1">
      <c r="C489" s="21"/>
      <c r="D489" s="21"/>
    </row>
    <row r="490" spans="3:4" ht="15.75" customHeight="1">
      <c r="C490" s="21"/>
      <c r="D490" s="21"/>
    </row>
    <row r="491" spans="3:4" ht="15.75" customHeight="1">
      <c r="C491" s="21"/>
      <c r="D491" s="21"/>
    </row>
    <row r="492" spans="3:4" ht="15.75" customHeight="1">
      <c r="C492" s="21"/>
      <c r="D492" s="21"/>
    </row>
    <row r="493" spans="3:4" ht="15.75" customHeight="1">
      <c r="C493" s="21"/>
      <c r="D493" s="21"/>
    </row>
    <row r="494" spans="3:4" ht="15.75" customHeight="1">
      <c r="C494" s="21"/>
      <c r="D494" s="21"/>
    </row>
    <row r="495" spans="3:4" ht="15.75" customHeight="1">
      <c r="C495" s="21"/>
      <c r="D495" s="21"/>
    </row>
    <row r="496" spans="3:4" ht="15.75" customHeight="1">
      <c r="C496" s="21"/>
      <c r="D496" s="21"/>
    </row>
    <row r="497" spans="3:4" ht="15.75" customHeight="1">
      <c r="C497" s="21"/>
      <c r="D497" s="21"/>
    </row>
    <row r="498" spans="3:4" ht="15.75" customHeight="1">
      <c r="C498" s="21"/>
      <c r="D498" s="21"/>
    </row>
    <row r="499" spans="3:4" ht="15.75" customHeight="1">
      <c r="C499" s="21"/>
      <c r="D499" s="21"/>
    </row>
    <row r="500" spans="3:4" ht="15.75" customHeight="1">
      <c r="C500" s="21"/>
      <c r="D500" s="21"/>
    </row>
    <row r="501" spans="3:4" ht="15.75" customHeight="1">
      <c r="C501" s="21"/>
      <c r="D501" s="21"/>
    </row>
    <row r="502" spans="3:4" ht="15.75" customHeight="1">
      <c r="C502" s="21"/>
      <c r="D502" s="21"/>
    </row>
    <row r="503" spans="3:4" ht="15.75" customHeight="1">
      <c r="C503" s="21"/>
      <c r="D503" s="21"/>
    </row>
    <row r="504" spans="3:4" ht="15.75" customHeight="1">
      <c r="C504" s="21"/>
      <c r="D504" s="21"/>
    </row>
    <row r="505" spans="3:4" ht="15.75" customHeight="1">
      <c r="C505" s="21"/>
      <c r="D505" s="21"/>
    </row>
    <row r="506" spans="3:4" ht="15.75" customHeight="1">
      <c r="C506" s="21"/>
      <c r="D506" s="21"/>
    </row>
    <row r="507" spans="3:4" ht="15.75" customHeight="1">
      <c r="C507" s="21"/>
      <c r="D507" s="21"/>
    </row>
    <row r="508" spans="3:4" ht="15.75" customHeight="1">
      <c r="C508" s="21"/>
      <c r="D508" s="21"/>
    </row>
    <row r="509" spans="3:4" ht="15.75" customHeight="1">
      <c r="C509" s="21"/>
      <c r="D509" s="21"/>
    </row>
    <row r="510" spans="3:4" ht="15.75" customHeight="1">
      <c r="C510" s="21"/>
      <c r="D510" s="21"/>
    </row>
    <row r="511" spans="3:4" ht="15.75" customHeight="1">
      <c r="C511" s="21"/>
      <c r="D511" s="21"/>
    </row>
    <row r="512" spans="3:4" ht="15.75" customHeight="1">
      <c r="C512" s="21"/>
      <c r="D512" s="21"/>
    </row>
    <row r="513" spans="3:4" ht="15.75" customHeight="1">
      <c r="C513" s="21"/>
      <c r="D513" s="21"/>
    </row>
    <row r="514" spans="3:4" ht="15.75" customHeight="1">
      <c r="C514" s="21"/>
      <c r="D514" s="21"/>
    </row>
    <row r="515" spans="3:4" ht="15.75" customHeight="1">
      <c r="C515" s="21"/>
      <c r="D515" s="21"/>
    </row>
    <row r="516" spans="3:4" ht="15.75" customHeight="1">
      <c r="C516" s="21"/>
      <c r="D516" s="21"/>
    </row>
    <row r="517" spans="3:4" ht="15.75" customHeight="1">
      <c r="C517" s="21"/>
      <c r="D517" s="21"/>
    </row>
    <row r="518" spans="3:4" ht="15.75" customHeight="1">
      <c r="C518" s="21"/>
      <c r="D518" s="21"/>
    </row>
    <row r="519" spans="3:4" ht="15.75" customHeight="1">
      <c r="C519" s="21"/>
      <c r="D519" s="21"/>
    </row>
    <row r="520" spans="3:4" ht="15.75" customHeight="1">
      <c r="C520" s="21"/>
      <c r="D520" s="21"/>
    </row>
    <row r="521" spans="3:4" ht="15.75" customHeight="1">
      <c r="C521" s="21"/>
      <c r="D521" s="21"/>
    </row>
    <row r="522" spans="3:4" ht="15.75" customHeight="1">
      <c r="C522" s="21"/>
      <c r="D522" s="21"/>
    </row>
    <row r="523" spans="3:4" ht="15.75" customHeight="1">
      <c r="C523" s="21"/>
      <c r="D523" s="21"/>
    </row>
    <row r="524" spans="3:4" ht="15.75" customHeight="1">
      <c r="C524" s="21"/>
      <c r="D524" s="21"/>
    </row>
    <row r="525" spans="3:4" ht="15.75" customHeight="1">
      <c r="C525" s="21"/>
      <c r="D525" s="21"/>
    </row>
    <row r="526" spans="3:4" ht="15.75" customHeight="1">
      <c r="C526" s="21"/>
      <c r="D526" s="21"/>
    </row>
    <row r="527" spans="3:4" ht="15.75" customHeight="1">
      <c r="C527" s="21"/>
      <c r="D527" s="21"/>
    </row>
    <row r="528" spans="3:4" ht="15.75" customHeight="1">
      <c r="C528" s="21"/>
      <c r="D528" s="21"/>
    </row>
    <row r="529" spans="3:4" ht="15.75" customHeight="1">
      <c r="C529" s="21"/>
      <c r="D529" s="21"/>
    </row>
    <row r="530" spans="3:4" ht="15.75" customHeight="1">
      <c r="C530" s="21"/>
      <c r="D530" s="21"/>
    </row>
    <row r="531" spans="3:4" ht="15.75" customHeight="1">
      <c r="C531" s="21"/>
      <c r="D531" s="21"/>
    </row>
    <row r="532" spans="3:4" ht="15.75" customHeight="1">
      <c r="C532" s="21"/>
      <c r="D532" s="21"/>
    </row>
    <row r="533" spans="3:4" ht="15.75" customHeight="1">
      <c r="C533" s="21"/>
      <c r="D533" s="21"/>
    </row>
    <row r="534" spans="3:4" ht="15.75" customHeight="1">
      <c r="C534" s="21"/>
      <c r="D534" s="21"/>
    </row>
    <row r="535" spans="3:4" ht="15.75" customHeight="1">
      <c r="C535" s="21"/>
      <c r="D535" s="21"/>
    </row>
    <row r="536" spans="3:4" ht="15.75" customHeight="1">
      <c r="C536" s="21"/>
      <c r="D536" s="21"/>
    </row>
    <row r="537" spans="3:4" ht="15.75" customHeight="1">
      <c r="C537" s="21"/>
      <c r="D537" s="21"/>
    </row>
    <row r="538" spans="3:4" ht="15.75" customHeight="1">
      <c r="C538" s="21"/>
      <c r="D538" s="21"/>
    </row>
    <row r="539" spans="3:4" ht="15.75" customHeight="1">
      <c r="C539" s="21"/>
      <c r="D539" s="21"/>
    </row>
    <row r="540" spans="3:4" ht="15.75" customHeight="1">
      <c r="C540" s="21"/>
      <c r="D540" s="21"/>
    </row>
    <row r="541" spans="3:4" ht="15.75" customHeight="1">
      <c r="C541" s="21"/>
      <c r="D541" s="21"/>
    </row>
    <row r="542" spans="3:4" ht="15.75" customHeight="1">
      <c r="C542" s="21"/>
      <c r="D542" s="21"/>
    </row>
    <row r="543" spans="3:4" ht="15.75" customHeight="1">
      <c r="C543" s="21"/>
      <c r="D543" s="21"/>
    </row>
    <row r="544" spans="3:4" ht="15.75" customHeight="1">
      <c r="C544" s="21"/>
      <c r="D544" s="21"/>
    </row>
    <row r="545" spans="3:4" ht="15.75" customHeight="1">
      <c r="C545" s="21"/>
      <c r="D545" s="21"/>
    </row>
    <row r="546" spans="3:4" ht="15.75" customHeight="1">
      <c r="C546" s="21"/>
      <c r="D546" s="21"/>
    </row>
    <row r="547" spans="3:4" ht="15.75" customHeight="1">
      <c r="C547" s="21"/>
      <c r="D547" s="21"/>
    </row>
    <row r="548" spans="3:4" ht="15.75" customHeight="1">
      <c r="C548" s="21"/>
      <c r="D548" s="21"/>
    </row>
    <row r="549" spans="3:4" ht="15.75" customHeight="1">
      <c r="C549" s="21"/>
      <c r="D549" s="21"/>
    </row>
    <row r="550" spans="3:4" ht="15.75" customHeight="1">
      <c r="C550" s="21"/>
      <c r="D550" s="21"/>
    </row>
    <row r="551" spans="3:4" ht="15.75" customHeight="1">
      <c r="C551" s="21"/>
      <c r="D551" s="21"/>
    </row>
    <row r="552" spans="3:4" ht="15.75" customHeight="1">
      <c r="C552" s="21"/>
      <c r="D552" s="21"/>
    </row>
    <row r="553" spans="3:4" ht="15.75" customHeight="1">
      <c r="C553" s="21"/>
      <c r="D553" s="21"/>
    </row>
    <row r="554" spans="3:4" ht="15.75" customHeight="1">
      <c r="C554" s="21"/>
      <c r="D554" s="21"/>
    </row>
    <row r="555" spans="3:4" ht="15.75" customHeight="1">
      <c r="C555" s="21"/>
      <c r="D555" s="21"/>
    </row>
    <row r="556" spans="3:4" ht="15.75" customHeight="1">
      <c r="C556" s="21"/>
      <c r="D556" s="21"/>
    </row>
    <row r="557" spans="3:4" ht="15.75" customHeight="1">
      <c r="C557" s="21"/>
      <c r="D557" s="21"/>
    </row>
    <row r="558" spans="3:4" ht="15.75" customHeight="1">
      <c r="C558" s="21"/>
      <c r="D558" s="21"/>
    </row>
    <row r="559" spans="3:4" ht="15.75" customHeight="1">
      <c r="C559" s="21"/>
      <c r="D559" s="21"/>
    </row>
    <row r="560" spans="3:4" ht="15.75" customHeight="1">
      <c r="C560" s="21"/>
      <c r="D560" s="21"/>
    </row>
    <row r="561" spans="3:4" ht="15.75" customHeight="1">
      <c r="C561" s="21"/>
      <c r="D561" s="21"/>
    </row>
    <row r="562" spans="3:4" ht="15.75" customHeight="1">
      <c r="C562" s="21"/>
      <c r="D562" s="21"/>
    </row>
    <row r="563" spans="3:4" ht="15.75" customHeight="1">
      <c r="C563" s="21"/>
      <c r="D563" s="21"/>
    </row>
    <row r="564" spans="3:4" ht="15.75" customHeight="1">
      <c r="C564" s="21"/>
      <c r="D564" s="21"/>
    </row>
    <row r="565" spans="3:4" ht="15.75" customHeight="1">
      <c r="C565" s="21"/>
      <c r="D565" s="21"/>
    </row>
    <row r="566" spans="3:4" ht="15.75" customHeight="1">
      <c r="C566" s="21"/>
      <c r="D566" s="21"/>
    </row>
    <row r="567" spans="3:4" ht="15.75" customHeight="1">
      <c r="C567" s="21"/>
      <c r="D567" s="21"/>
    </row>
    <row r="568" spans="3:4" ht="15.75" customHeight="1">
      <c r="C568" s="21"/>
      <c r="D568" s="21"/>
    </row>
    <row r="569" spans="3:4" ht="15.75" customHeight="1">
      <c r="C569" s="21"/>
      <c r="D569" s="21"/>
    </row>
    <row r="570" spans="3:4" ht="15.75" customHeight="1">
      <c r="C570" s="21"/>
      <c r="D570" s="21"/>
    </row>
    <row r="571" spans="3:4" ht="15.75" customHeight="1">
      <c r="C571" s="21"/>
      <c r="D571" s="21"/>
    </row>
    <row r="572" spans="3:4" ht="15.75" customHeight="1">
      <c r="C572" s="21"/>
      <c r="D572" s="21"/>
    </row>
    <row r="573" spans="3:4" ht="15.75" customHeight="1">
      <c r="C573" s="21"/>
      <c r="D573" s="21"/>
    </row>
    <row r="574" spans="3:4" ht="15.75" customHeight="1">
      <c r="C574" s="21"/>
      <c r="D574" s="21"/>
    </row>
    <row r="575" spans="3:4" ht="15.75" customHeight="1">
      <c r="C575" s="21"/>
      <c r="D575" s="21"/>
    </row>
    <row r="576" spans="3:4" ht="15.75" customHeight="1">
      <c r="C576" s="21"/>
      <c r="D576" s="21"/>
    </row>
    <row r="577" spans="3:4" ht="15.75" customHeight="1">
      <c r="C577" s="21"/>
      <c r="D577" s="21"/>
    </row>
    <row r="578" spans="3:4" ht="15.75" customHeight="1">
      <c r="C578" s="21"/>
      <c r="D578" s="21"/>
    </row>
    <row r="579" spans="3:4" ht="15.75" customHeight="1">
      <c r="C579" s="21"/>
      <c r="D579" s="21"/>
    </row>
    <row r="580" spans="3:4" ht="15.75" customHeight="1">
      <c r="C580" s="21"/>
      <c r="D580" s="21"/>
    </row>
    <row r="581" spans="3:4" ht="15.75" customHeight="1">
      <c r="C581" s="21"/>
      <c r="D581" s="21"/>
    </row>
    <row r="582" spans="3:4" ht="15.75" customHeight="1">
      <c r="C582" s="21"/>
      <c r="D582" s="21"/>
    </row>
    <row r="583" spans="3:4" ht="15.75" customHeight="1">
      <c r="C583" s="21"/>
      <c r="D583" s="21"/>
    </row>
    <row r="584" spans="3:4" ht="15.75" customHeight="1">
      <c r="C584" s="21"/>
      <c r="D584" s="21"/>
    </row>
    <row r="585" spans="3:4" ht="15.75" customHeight="1">
      <c r="C585" s="21"/>
      <c r="D585" s="21"/>
    </row>
    <row r="586" spans="3:4" ht="15.75" customHeight="1">
      <c r="C586" s="21"/>
      <c r="D586" s="21"/>
    </row>
    <row r="587" spans="3:4" ht="15.75" customHeight="1">
      <c r="C587" s="21"/>
      <c r="D587" s="21"/>
    </row>
    <row r="588" spans="3:4" ht="15.75" customHeight="1">
      <c r="C588" s="21"/>
      <c r="D588" s="21"/>
    </row>
    <row r="589" spans="3:4" ht="15.75" customHeight="1">
      <c r="C589" s="21"/>
      <c r="D589" s="21"/>
    </row>
    <row r="590" spans="3:4" ht="15.75" customHeight="1">
      <c r="C590" s="21"/>
      <c r="D590" s="21"/>
    </row>
    <row r="591" spans="3:4" ht="15.75" customHeight="1">
      <c r="C591" s="21"/>
      <c r="D591" s="21"/>
    </row>
    <row r="592" spans="3:4" ht="15.75" customHeight="1">
      <c r="C592" s="21"/>
      <c r="D592" s="21"/>
    </row>
    <row r="593" spans="3:4" ht="15.75" customHeight="1">
      <c r="C593" s="21"/>
      <c r="D593" s="21"/>
    </row>
    <row r="594" spans="3:4" ht="15.75" customHeight="1">
      <c r="C594" s="21"/>
      <c r="D594" s="21"/>
    </row>
    <row r="595" spans="3:4" ht="15.75" customHeight="1">
      <c r="C595" s="21"/>
      <c r="D595" s="21"/>
    </row>
    <row r="596" spans="3:4" ht="15.75" customHeight="1">
      <c r="C596" s="21"/>
      <c r="D596" s="21"/>
    </row>
    <row r="597" spans="3:4" ht="15.75" customHeight="1">
      <c r="C597" s="21"/>
      <c r="D597" s="21"/>
    </row>
    <row r="598" spans="3:4" ht="15.75" customHeight="1">
      <c r="C598" s="21"/>
      <c r="D598" s="21"/>
    </row>
    <row r="599" spans="3:4" ht="15.75" customHeight="1">
      <c r="C599" s="21"/>
      <c r="D599" s="21"/>
    </row>
    <row r="600" spans="3:4" ht="15.75" customHeight="1">
      <c r="C600" s="21"/>
      <c r="D600" s="21"/>
    </row>
    <row r="601" spans="3:4" ht="15.75" customHeight="1">
      <c r="C601" s="21"/>
      <c r="D601" s="21"/>
    </row>
    <row r="602" spans="3:4" ht="15.75" customHeight="1">
      <c r="C602" s="21"/>
      <c r="D602" s="21"/>
    </row>
    <row r="603" spans="3:4" ht="15.75" customHeight="1">
      <c r="C603" s="21"/>
      <c r="D603" s="21"/>
    </row>
    <row r="604" spans="3:4" ht="15.75" customHeight="1">
      <c r="C604" s="21"/>
      <c r="D604" s="21"/>
    </row>
    <row r="605" spans="3:4" ht="15.75" customHeight="1">
      <c r="C605" s="21"/>
      <c r="D605" s="21"/>
    </row>
    <row r="606" spans="3:4" ht="15.75" customHeight="1">
      <c r="C606" s="21"/>
      <c r="D606" s="21"/>
    </row>
    <row r="607" spans="3:4" ht="15.75" customHeight="1">
      <c r="C607" s="21"/>
      <c r="D607" s="21"/>
    </row>
    <row r="608" spans="3:4" ht="15.75" customHeight="1">
      <c r="C608" s="21"/>
      <c r="D608" s="21"/>
    </row>
    <row r="609" spans="3:4" ht="15.75" customHeight="1">
      <c r="C609" s="21"/>
      <c r="D609" s="21"/>
    </row>
    <row r="610" spans="3:4" ht="15.75" customHeight="1">
      <c r="C610" s="21"/>
      <c r="D610" s="21"/>
    </row>
    <row r="611" spans="3:4" ht="15.75" customHeight="1">
      <c r="C611" s="21"/>
      <c r="D611" s="21"/>
    </row>
    <row r="612" spans="3:4" ht="15.75" customHeight="1">
      <c r="C612" s="21"/>
      <c r="D612" s="21"/>
    </row>
    <row r="613" spans="3:4" ht="15.75" customHeight="1">
      <c r="C613" s="21"/>
      <c r="D613" s="21"/>
    </row>
    <row r="614" spans="3:4" ht="15.75" customHeight="1">
      <c r="C614" s="21"/>
      <c r="D614" s="21"/>
    </row>
    <row r="615" spans="3:4" ht="15.75" customHeight="1">
      <c r="C615" s="21"/>
      <c r="D615" s="21"/>
    </row>
    <row r="616" spans="3:4" ht="15.75" customHeight="1">
      <c r="C616" s="21"/>
      <c r="D616" s="21"/>
    </row>
    <row r="617" spans="3:4" ht="15.75" customHeight="1">
      <c r="C617" s="21"/>
      <c r="D617" s="21"/>
    </row>
    <row r="618" spans="3:4" ht="15.75" customHeight="1">
      <c r="C618" s="21"/>
      <c r="D618" s="21"/>
    </row>
    <row r="619" spans="3:4" ht="15.75" customHeight="1">
      <c r="C619" s="21"/>
      <c r="D619" s="21"/>
    </row>
    <row r="620" spans="3:4" ht="15.75" customHeight="1">
      <c r="C620" s="21"/>
      <c r="D620" s="21"/>
    </row>
    <row r="621" spans="3:4" ht="15.75" customHeight="1">
      <c r="C621" s="21"/>
      <c r="D621" s="21"/>
    </row>
    <row r="622" spans="3:4" ht="15.75" customHeight="1">
      <c r="C622" s="21"/>
      <c r="D622" s="21"/>
    </row>
    <row r="623" spans="3:4" ht="15.75" customHeight="1">
      <c r="C623" s="21"/>
      <c r="D623" s="21"/>
    </row>
    <row r="624" spans="3:4" ht="15.75" customHeight="1">
      <c r="C624" s="21"/>
      <c r="D624" s="21"/>
    </row>
    <row r="625" spans="3:4" ht="15.75" customHeight="1">
      <c r="C625" s="21"/>
      <c r="D625" s="21"/>
    </row>
    <row r="626" spans="3:4" ht="15.75" customHeight="1">
      <c r="C626" s="21"/>
      <c r="D626" s="21"/>
    </row>
    <row r="627" spans="3:4" ht="15.75" customHeight="1">
      <c r="C627" s="21"/>
      <c r="D627" s="21"/>
    </row>
    <row r="628" spans="3:4" ht="15.75" customHeight="1">
      <c r="C628" s="21"/>
      <c r="D628" s="21"/>
    </row>
    <row r="629" spans="3:4" ht="15.75" customHeight="1">
      <c r="C629" s="21"/>
      <c r="D629" s="21"/>
    </row>
    <row r="630" spans="3:4" ht="15.75" customHeight="1">
      <c r="C630" s="21"/>
      <c r="D630" s="21"/>
    </row>
    <row r="631" spans="3:4" ht="15.75" customHeight="1">
      <c r="C631" s="21"/>
      <c r="D631" s="21"/>
    </row>
    <row r="632" spans="3:4" ht="15.75" customHeight="1">
      <c r="C632" s="21"/>
      <c r="D632" s="21"/>
    </row>
    <row r="633" spans="3:4" ht="15.75" customHeight="1">
      <c r="C633" s="21"/>
      <c r="D633" s="21"/>
    </row>
    <row r="634" spans="3:4" ht="15.75" customHeight="1">
      <c r="C634" s="21"/>
      <c r="D634" s="21"/>
    </row>
    <row r="635" spans="3:4" ht="15.75" customHeight="1">
      <c r="C635" s="21"/>
      <c r="D635" s="21"/>
    </row>
    <row r="636" spans="3:4" ht="15.75" customHeight="1">
      <c r="C636" s="21"/>
      <c r="D636" s="21"/>
    </row>
    <row r="637" spans="3:4" ht="15.75" customHeight="1">
      <c r="C637" s="21"/>
      <c r="D637" s="21"/>
    </row>
    <row r="638" spans="3:4" ht="15.75" customHeight="1">
      <c r="C638" s="21"/>
      <c r="D638" s="21"/>
    </row>
    <row r="639" spans="3:4" ht="15.75" customHeight="1">
      <c r="C639" s="21"/>
      <c r="D639" s="21"/>
    </row>
    <row r="640" spans="3:4" ht="15.75" customHeight="1">
      <c r="C640" s="21"/>
      <c r="D640" s="21"/>
    </row>
    <row r="641" spans="3:4" ht="15.75" customHeight="1">
      <c r="C641" s="21"/>
      <c r="D641" s="21"/>
    </row>
    <row r="642" spans="3:4" ht="15.75" customHeight="1">
      <c r="C642" s="21"/>
      <c r="D642" s="21"/>
    </row>
    <row r="643" spans="3:4" ht="15.75" customHeight="1">
      <c r="C643" s="21"/>
      <c r="D643" s="21"/>
    </row>
    <row r="644" spans="3:4" ht="15.75" customHeight="1">
      <c r="C644" s="21"/>
      <c r="D644" s="21"/>
    </row>
    <row r="645" spans="3:4" ht="15.75" customHeight="1">
      <c r="C645" s="21"/>
      <c r="D645" s="21"/>
    </row>
    <row r="646" spans="3:4" ht="15.75" customHeight="1">
      <c r="C646" s="21"/>
      <c r="D646" s="21"/>
    </row>
    <row r="647" spans="3:4" ht="15.75" customHeight="1">
      <c r="C647" s="21"/>
      <c r="D647" s="21"/>
    </row>
    <row r="648" spans="3:4" ht="15.75" customHeight="1">
      <c r="C648" s="21"/>
      <c r="D648" s="21"/>
    </row>
    <row r="649" spans="3:4" ht="15.75" customHeight="1">
      <c r="C649" s="21"/>
      <c r="D649" s="21"/>
    </row>
    <row r="650" spans="3:4" ht="15.75" customHeight="1">
      <c r="C650" s="21"/>
      <c r="D650" s="21"/>
    </row>
    <row r="651" spans="3:4" ht="15.75" customHeight="1">
      <c r="C651" s="21"/>
      <c r="D651" s="21"/>
    </row>
    <row r="652" spans="3:4" ht="15.75" customHeight="1">
      <c r="C652" s="21"/>
      <c r="D652" s="21"/>
    </row>
    <row r="653" spans="3:4" ht="15.75" customHeight="1">
      <c r="C653" s="21"/>
      <c r="D653" s="21"/>
    </row>
    <row r="654" spans="3:4" ht="15.75" customHeight="1">
      <c r="C654" s="21"/>
      <c r="D654" s="21"/>
    </row>
    <row r="655" spans="3:4" ht="15.75" customHeight="1">
      <c r="C655" s="21"/>
      <c r="D655" s="21"/>
    </row>
    <row r="656" spans="3:4" ht="15.75" customHeight="1">
      <c r="C656" s="21"/>
      <c r="D656" s="21"/>
    </row>
    <row r="657" spans="3:4" ht="15.75" customHeight="1">
      <c r="C657" s="21"/>
      <c r="D657" s="21"/>
    </row>
    <row r="658" spans="3:4" ht="15.75" customHeight="1">
      <c r="C658" s="21"/>
      <c r="D658" s="21"/>
    </row>
    <row r="659" spans="3:4" ht="15.75" customHeight="1">
      <c r="C659" s="21"/>
      <c r="D659" s="21"/>
    </row>
    <row r="660" spans="3:4" ht="15.75" customHeight="1">
      <c r="C660" s="21"/>
      <c r="D660" s="21"/>
    </row>
    <row r="661" spans="3:4" ht="15.75" customHeight="1">
      <c r="C661" s="21"/>
      <c r="D661" s="21"/>
    </row>
    <row r="662" spans="3:4" ht="15.75" customHeight="1">
      <c r="C662" s="21"/>
      <c r="D662" s="21"/>
    </row>
    <row r="663" spans="3:4" ht="15.75" customHeight="1">
      <c r="C663" s="21"/>
      <c r="D663" s="21"/>
    </row>
    <row r="664" spans="3:4" ht="15.75" customHeight="1">
      <c r="C664" s="21"/>
      <c r="D664" s="21"/>
    </row>
    <row r="665" spans="3:4" ht="15.75" customHeight="1">
      <c r="C665" s="21"/>
      <c r="D665" s="21"/>
    </row>
    <row r="666" spans="3:4" ht="15.75" customHeight="1">
      <c r="C666" s="21"/>
      <c r="D666" s="21"/>
    </row>
    <row r="667" spans="3:4" ht="15.75" customHeight="1">
      <c r="C667" s="21"/>
      <c r="D667" s="21"/>
    </row>
    <row r="668" spans="3:4" ht="15.75" customHeight="1">
      <c r="C668" s="21"/>
      <c r="D668" s="21"/>
    </row>
    <row r="669" spans="3:4" ht="15.75" customHeight="1">
      <c r="C669" s="21"/>
      <c r="D669" s="21"/>
    </row>
    <row r="670" spans="3:4" ht="15.75" customHeight="1">
      <c r="C670" s="21"/>
      <c r="D670" s="21"/>
    </row>
    <row r="671" spans="3:4" ht="15.75" customHeight="1">
      <c r="C671" s="21"/>
      <c r="D671" s="21"/>
    </row>
    <row r="672" spans="3:4" ht="15.75" customHeight="1">
      <c r="C672" s="21"/>
      <c r="D672" s="21"/>
    </row>
    <row r="673" spans="3:4" ht="15.75" customHeight="1">
      <c r="C673" s="21"/>
      <c r="D673" s="21"/>
    </row>
    <row r="674" spans="3:4" ht="15.75" customHeight="1">
      <c r="C674" s="21"/>
      <c r="D674" s="21"/>
    </row>
    <row r="675" spans="3:4" ht="15.75" customHeight="1">
      <c r="C675" s="21"/>
      <c r="D675" s="21"/>
    </row>
    <row r="676" spans="3:4" ht="15.75" customHeight="1">
      <c r="C676" s="21"/>
      <c r="D676" s="21"/>
    </row>
    <row r="677" spans="3:4" ht="15.75" customHeight="1">
      <c r="C677" s="21"/>
      <c r="D677" s="21"/>
    </row>
    <row r="678" spans="3:4" ht="15.75" customHeight="1">
      <c r="C678" s="21"/>
      <c r="D678" s="21"/>
    </row>
    <row r="679" spans="3:4" ht="15.75" customHeight="1">
      <c r="C679" s="21"/>
      <c r="D679" s="21"/>
    </row>
    <row r="680" spans="3:4" ht="15.75" customHeight="1">
      <c r="C680" s="21"/>
      <c r="D680" s="21"/>
    </row>
    <row r="681" spans="3:4" ht="15.75" customHeight="1">
      <c r="C681" s="21"/>
      <c r="D681" s="21"/>
    </row>
    <row r="682" spans="3:4" ht="15.75" customHeight="1">
      <c r="C682" s="21"/>
      <c r="D682" s="21"/>
    </row>
    <row r="683" spans="3:4" ht="15.75" customHeight="1">
      <c r="C683" s="21"/>
      <c r="D683" s="21"/>
    </row>
    <row r="684" spans="3:4" ht="15.75" customHeight="1">
      <c r="C684" s="21"/>
      <c r="D684" s="21"/>
    </row>
    <row r="685" spans="3:4" ht="15.75" customHeight="1">
      <c r="C685" s="21"/>
      <c r="D685" s="21"/>
    </row>
    <row r="686" spans="3:4" ht="15.75" customHeight="1">
      <c r="C686" s="21"/>
      <c r="D686" s="21"/>
    </row>
    <row r="687" spans="3:4" ht="15.75" customHeight="1">
      <c r="C687" s="21"/>
      <c r="D687" s="21"/>
    </row>
    <row r="688" spans="3:4" ht="15.75" customHeight="1">
      <c r="C688" s="21"/>
      <c r="D688" s="21"/>
    </row>
    <row r="689" spans="3:4" ht="15.75" customHeight="1">
      <c r="C689" s="21"/>
      <c r="D689" s="21"/>
    </row>
    <row r="690" spans="3:4" ht="15.75" customHeight="1">
      <c r="C690" s="21"/>
      <c r="D690" s="21"/>
    </row>
    <row r="691" spans="3:4" ht="15.75" customHeight="1">
      <c r="C691" s="21"/>
      <c r="D691" s="21"/>
    </row>
    <row r="692" spans="3:4" ht="15.75" customHeight="1">
      <c r="C692" s="21"/>
      <c r="D692" s="21"/>
    </row>
    <row r="693" spans="3:4" ht="15.75" customHeight="1">
      <c r="C693" s="21"/>
      <c r="D693" s="21"/>
    </row>
    <row r="694" spans="3:4" ht="15.75" customHeight="1">
      <c r="C694" s="21"/>
      <c r="D694" s="21"/>
    </row>
    <row r="695" spans="3:4" ht="15.75" customHeight="1">
      <c r="C695" s="21"/>
      <c r="D695" s="21"/>
    </row>
    <row r="696" spans="3:4" ht="15.75" customHeight="1">
      <c r="C696" s="21"/>
      <c r="D696" s="21"/>
    </row>
    <row r="697" spans="3:4" ht="15.75" customHeight="1">
      <c r="C697" s="21"/>
      <c r="D697" s="21"/>
    </row>
    <row r="698" spans="3:4" ht="15.75" customHeight="1">
      <c r="C698" s="21"/>
      <c r="D698" s="21"/>
    </row>
    <row r="699" spans="3:4" ht="15.75" customHeight="1">
      <c r="C699" s="21"/>
      <c r="D699" s="21"/>
    </row>
    <row r="700" spans="3:4" ht="15.75" customHeight="1">
      <c r="C700" s="21"/>
      <c r="D700" s="21"/>
    </row>
    <row r="701" spans="3:4" ht="15.75" customHeight="1">
      <c r="C701" s="21"/>
      <c r="D701" s="21"/>
    </row>
    <row r="702" spans="3:4" ht="15.75" customHeight="1">
      <c r="C702" s="21"/>
      <c r="D702" s="21"/>
    </row>
    <row r="703" spans="3:4" ht="15.75" customHeight="1">
      <c r="C703" s="21"/>
      <c r="D703" s="21"/>
    </row>
    <row r="704" spans="3:4" ht="15.75" customHeight="1">
      <c r="C704" s="21"/>
      <c r="D704" s="21"/>
    </row>
    <row r="705" spans="3:4" ht="15.75" customHeight="1">
      <c r="C705" s="21"/>
      <c r="D705" s="21"/>
    </row>
    <row r="706" spans="3:4" ht="15.75" customHeight="1">
      <c r="C706" s="21"/>
      <c r="D706" s="21"/>
    </row>
    <row r="707" spans="3:4" ht="15.75" customHeight="1">
      <c r="C707" s="21"/>
      <c r="D707" s="21"/>
    </row>
    <row r="708" spans="3:4" ht="15.75" customHeight="1">
      <c r="C708" s="21"/>
      <c r="D708" s="21"/>
    </row>
    <row r="709" spans="3:4" ht="15.75" customHeight="1">
      <c r="C709" s="21"/>
      <c r="D709" s="21"/>
    </row>
    <row r="710" spans="3:4" ht="15.75" customHeight="1">
      <c r="C710" s="21"/>
      <c r="D710" s="21"/>
    </row>
    <row r="711" spans="3:4" ht="15.75" customHeight="1">
      <c r="C711" s="21"/>
      <c r="D711" s="21"/>
    </row>
    <row r="712" spans="3:4" ht="15.75" customHeight="1">
      <c r="C712" s="21"/>
      <c r="D712" s="21"/>
    </row>
    <row r="713" spans="3:4" ht="15.75" customHeight="1">
      <c r="C713" s="21"/>
      <c r="D713" s="21"/>
    </row>
    <row r="714" spans="3:4" ht="15.75" customHeight="1">
      <c r="C714" s="21"/>
      <c r="D714" s="21"/>
    </row>
    <row r="715" spans="3:4" ht="15.75" customHeight="1">
      <c r="C715" s="21"/>
      <c r="D715" s="21"/>
    </row>
    <row r="716" spans="3:4" ht="15.75" customHeight="1">
      <c r="C716" s="21"/>
      <c r="D716" s="21"/>
    </row>
    <row r="717" spans="3:4" ht="15.75" customHeight="1">
      <c r="C717" s="21"/>
      <c r="D717" s="21"/>
    </row>
    <row r="718" spans="3:4" ht="15.75" customHeight="1">
      <c r="C718" s="21"/>
      <c r="D718" s="21"/>
    </row>
    <row r="719" spans="3:4" ht="15.75" customHeight="1">
      <c r="C719" s="21"/>
      <c r="D719" s="21"/>
    </row>
    <row r="720" spans="3:4" ht="15.75" customHeight="1">
      <c r="C720" s="21"/>
      <c r="D720" s="21"/>
    </row>
    <row r="721" spans="3:4" ht="15.75" customHeight="1">
      <c r="C721" s="21"/>
      <c r="D721" s="21"/>
    </row>
    <row r="722" spans="3:4" ht="15.75" customHeight="1">
      <c r="C722" s="21"/>
      <c r="D722" s="21"/>
    </row>
    <row r="723" spans="3:4" ht="15.75" customHeight="1">
      <c r="C723" s="21"/>
      <c r="D723" s="21"/>
    </row>
    <row r="724" spans="3:4" ht="15.75" customHeight="1">
      <c r="C724" s="21"/>
      <c r="D724" s="21"/>
    </row>
    <row r="725" spans="3:4" ht="15.75" customHeight="1">
      <c r="C725" s="21"/>
      <c r="D725" s="21"/>
    </row>
    <row r="726" spans="3:4" ht="15.75" customHeight="1">
      <c r="C726" s="21"/>
      <c r="D726" s="21"/>
    </row>
    <row r="727" spans="3:4" ht="15.75" customHeight="1">
      <c r="C727" s="21"/>
      <c r="D727" s="21"/>
    </row>
    <row r="728" spans="3:4" ht="15.75" customHeight="1">
      <c r="C728" s="21"/>
      <c r="D728" s="21"/>
    </row>
    <row r="729" spans="3:4" ht="15.75" customHeight="1">
      <c r="C729" s="21"/>
      <c r="D729" s="21"/>
    </row>
    <row r="730" spans="3:4" ht="15.75" customHeight="1">
      <c r="C730" s="21"/>
      <c r="D730" s="21"/>
    </row>
    <row r="731" spans="3:4" ht="15.75" customHeight="1">
      <c r="C731" s="21"/>
      <c r="D731" s="21"/>
    </row>
    <row r="732" spans="3:4" ht="15.75" customHeight="1">
      <c r="C732" s="21"/>
      <c r="D732" s="21"/>
    </row>
    <row r="733" spans="3:4" ht="15.75" customHeight="1">
      <c r="C733" s="21"/>
      <c r="D733" s="21"/>
    </row>
    <row r="734" spans="3:4" ht="15.75" customHeight="1">
      <c r="C734" s="21"/>
      <c r="D734" s="21"/>
    </row>
    <row r="735" spans="3:4" ht="15.75" customHeight="1">
      <c r="C735" s="21"/>
      <c r="D735" s="21"/>
    </row>
    <row r="736" spans="3:4" ht="15.75" customHeight="1">
      <c r="C736" s="21"/>
      <c r="D736" s="21"/>
    </row>
    <row r="737" spans="3:4" ht="15.75" customHeight="1">
      <c r="C737" s="21"/>
      <c r="D737" s="21"/>
    </row>
    <row r="738" spans="3:4" ht="15.75" customHeight="1">
      <c r="C738" s="21"/>
      <c r="D738" s="21"/>
    </row>
    <row r="739" spans="3:4" ht="15.75" customHeight="1">
      <c r="C739" s="21"/>
      <c r="D739" s="21"/>
    </row>
    <row r="740" spans="3:4" ht="15.75" customHeight="1">
      <c r="C740" s="21"/>
      <c r="D740" s="21"/>
    </row>
    <row r="741" spans="3:4" ht="15.75" customHeight="1">
      <c r="C741" s="21"/>
      <c r="D741" s="21"/>
    </row>
    <row r="742" spans="3:4" ht="15.75" customHeight="1">
      <c r="C742" s="21"/>
      <c r="D742" s="21"/>
    </row>
    <row r="743" spans="3:4" ht="15.75" customHeight="1">
      <c r="C743" s="21"/>
      <c r="D743" s="21"/>
    </row>
    <row r="744" spans="3:4" ht="15.75" customHeight="1">
      <c r="C744" s="21"/>
      <c r="D744" s="21"/>
    </row>
    <row r="745" spans="3:4" ht="15.75" customHeight="1">
      <c r="C745" s="21"/>
      <c r="D745" s="21"/>
    </row>
    <row r="746" spans="3:4" ht="15.75" customHeight="1">
      <c r="C746" s="21"/>
      <c r="D746" s="21"/>
    </row>
    <row r="747" spans="3:4" ht="15.75" customHeight="1">
      <c r="C747" s="21"/>
      <c r="D747" s="21"/>
    </row>
    <row r="748" spans="3:4" ht="15.75" customHeight="1">
      <c r="C748" s="21"/>
      <c r="D748" s="21"/>
    </row>
    <row r="749" spans="3:4" ht="15.75" customHeight="1">
      <c r="C749" s="21"/>
      <c r="D749" s="21"/>
    </row>
    <row r="750" spans="3:4" ht="15.75" customHeight="1">
      <c r="C750" s="21"/>
      <c r="D750" s="21"/>
    </row>
    <row r="751" spans="3:4" ht="15.75" customHeight="1">
      <c r="C751" s="21"/>
      <c r="D751" s="21"/>
    </row>
    <row r="752" spans="3:4" ht="15.75" customHeight="1">
      <c r="C752" s="21"/>
      <c r="D752" s="21"/>
    </row>
    <row r="753" spans="3:4" ht="15.75" customHeight="1">
      <c r="C753" s="21"/>
      <c r="D753" s="21"/>
    </row>
    <row r="754" spans="3:4" ht="15.75" customHeight="1">
      <c r="C754" s="21"/>
      <c r="D754" s="21"/>
    </row>
    <row r="755" spans="3:4" ht="15.75" customHeight="1">
      <c r="C755" s="21"/>
      <c r="D755" s="21"/>
    </row>
    <row r="756" spans="3:4" ht="15.75" customHeight="1">
      <c r="C756" s="21"/>
      <c r="D756" s="21"/>
    </row>
    <row r="757" spans="3:4" ht="15.75" customHeight="1">
      <c r="C757" s="21"/>
      <c r="D757" s="21"/>
    </row>
    <row r="758" spans="3:4" ht="15.75" customHeight="1">
      <c r="C758" s="21"/>
      <c r="D758" s="21"/>
    </row>
    <row r="759" spans="3:4" ht="15.75" customHeight="1">
      <c r="C759" s="21"/>
      <c r="D759" s="21"/>
    </row>
    <row r="760" spans="3:4" ht="15.75" customHeight="1">
      <c r="C760" s="21"/>
      <c r="D760" s="21"/>
    </row>
    <row r="761" spans="3:4" ht="15.75" customHeight="1">
      <c r="C761" s="21"/>
      <c r="D761" s="21"/>
    </row>
    <row r="762" spans="3:4" ht="15.75" customHeight="1">
      <c r="C762" s="21"/>
      <c r="D762" s="21"/>
    </row>
    <row r="763" spans="3:4" ht="15.75" customHeight="1">
      <c r="C763" s="21"/>
      <c r="D763" s="21"/>
    </row>
    <row r="764" spans="3:4" ht="15.75" customHeight="1">
      <c r="C764" s="21"/>
      <c r="D764" s="21"/>
    </row>
    <row r="765" spans="3:4" ht="15.75" customHeight="1">
      <c r="C765" s="21"/>
      <c r="D765" s="21"/>
    </row>
    <row r="766" spans="3:4" ht="15.75" customHeight="1">
      <c r="C766" s="21"/>
      <c r="D766" s="21"/>
    </row>
    <row r="767" spans="3:4" ht="15.75" customHeight="1">
      <c r="C767" s="21"/>
      <c r="D767" s="21"/>
    </row>
    <row r="768" spans="3:4" ht="15.75" customHeight="1">
      <c r="C768" s="21"/>
      <c r="D768" s="21"/>
    </row>
    <row r="769" spans="3:4" ht="15.75" customHeight="1">
      <c r="C769" s="21"/>
      <c r="D769" s="21"/>
    </row>
    <row r="770" spans="3:4" ht="15.75" customHeight="1">
      <c r="C770" s="21"/>
      <c r="D770" s="21"/>
    </row>
    <row r="771" spans="3:4" ht="15.75" customHeight="1">
      <c r="C771" s="21"/>
      <c r="D771" s="21"/>
    </row>
    <row r="772" spans="3:4" ht="15.75" customHeight="1">
      <c r="C772" s="21"/>
      <c r="D772" s="21"/>
    </row>
    <row r="773" spans="3:4" ht="15.75" customHeight="1">
      <c r="C773" s="21"/>
      <c r="D773" s="21"/>
    </row>
    <row r="774" spans="3:4" ht="15.75" customHeight="1">
      <c r="C774" s="21"/>
      <c r="D774" s="21"/>
    </row>
    <row r="775" spans="3:4" ht="15.75" customHeight="1">
      <c r="C775" s="21"/>
      <c r="D775" s="21"/>
    </row>
    <row r="776" spans="3:4" ht="15.75" customHeight="1">
      <c r="C776" s="21"/>
      <c r="D776" s="21"/>
    </row>
    <row r="777" spans="3:4" ht="15.75" customHeight="1">
      <c r="C777" s="21"/>
      <c r="D777" s="21"/>
    </row>
    <row r="778" spans="3:4" ht="15.75" customHeight="1">
      <c r="C778" s="21"/>
      <c r="D778" s="21"/>
    </row>
    <row r="779" spans="3:4" ht="15.75" customHeight="1">
      <c r="C779" s="21"/>
      <c r="D779" s="21"/>
    </row>
    <row r="780" spans="3:4" ht="15.75" customHeight="1">
      <c r="C780" s="21"/>
      <c r="D780" s="21"/>
    </row>
    <row r="781" spans="3:4" ht="15.75" customHeight="1">
      <c r="C781" s="21"/>
      <c r="D781" s="21"/>
    </row>
    <row r="782" spans="3:4" ht="15.75" customHeight="1">
      <c r="C782" s="21"/>
      <c r="D782" s="21"/>
    </row>
    <row r="783" spans="3:4" ht="15.75" customHeight="1">
      <c r="C783" s="21"/>
      <c r="D783" s="21"/>
    </row>
    <row r="784" spans="3:4" ht="15.75" customHeight="1">
      <c r="C784" s="21"/>
      <c r="D784" s="21"/>
    </row>
    <row r="785" spans="3:4" ht="15.75" customHeight="1">
      <c r="C785" s="21"/>
      <c r="D785" s="21"/>
    </row>
    <row r="786" spans="3:4" ht="15.75" customHeight="1">
      <c r="C786" s="21"/>
      <c r="D786" s="21"/>
    </row>
    <row r="787" spans="3:4" ht="15.75" customHeight="1">
      <c r="C787" s="21"/>
      <c r="D787" s="21"/>
    </row>
    <row r="788" spans="3:4" ht="15.75" customHeight="1">
      <c r="C788" s="21"/>
      <c r="D788" s="21"/>
    </row>
    <row r="789" spans="3:4" ht="15.75" customHeight="1">
      <c r="C789" s="21"/>
      <c r="D789" s="21"/>
    </row>
    <row r="790" spans="3:4" ht="15.75" customHeight="1">
      <c r="C790" s="21"/>
      <c r="D790" s="21"/>
    </row>
    <row r="791" spans="3:4" ht="15.75" customHeight="1">
      <c r="C791" s="21"/>
      <c r="D791" s="21"/>
    </row>
    <row r="792" spans="3:4" ht="15.75" customHeight="1">
      <c r="C792" s="21"/>
      <c r="D792" s="21"/>
    </row>
    <row r="793" spans="3:4" ht="15.75" customHeight="1">
      <c r="C793" s="21"/>
      <c r="D793" s="21"/>
    </row>
    <row r="794" spans="3:4" ht="15.75" customHeight="1">
      <c r="C794" s="21"/>
      <c r="D794" s="21"/>
    </row>
    <row r="795" spans="3:4" ht="15.75" customHeight="1">
      <c r="C795" s="21"/>
      <c r="D795" s="21"/>
    </row>
    <row r="796" spans="3:4" ht="15.75" customHeight="1">
      <c r="C796" s="21"/>
      <c r="D796" s="21"/>
    </row>
    <row r="797" spans="3:4" ht="15.75" customHeight="1">
      <c r="C797" s="21"/>
      <c r="D797" s="21"/>
    </row>
    <row r="798" spans="3:4" ht="15.75" customHeight="1">
      <c r="C798" s="21"/>
      <c r="D798" s="21"/>
    </row>
    <row r="799" spans="3:4" ht="15.75" customHeight="1">
      <c r="C799" s="21"/>
      <c r="D799" s="21"/>
    </row>
    <row r="800" spans="3:4" ht="15.75" customHeight="1">
      <c r="C800" s="21"/>
      <c r="D800" s="21"/>
    </row>
    <row r="801" spans="3:4" ht="15.75" customHeight="1">
      <c r="C801" s="21"/>
      <c r="D801" s="21"/>
    </row>
    <row r="802" spans="3:4" ht="15.75" customHeight="1">
      <c r="C802" s="21"/>
      <c r="D802" s="21"/>
    </row>
    <row r="803" spans="3:4" ht="15.75" customHeight="1">
      <c r="C803" s="21"/>
      <c r="D803" s="21"/>
    </row>
    <row r="804" spans="3:4" ht="15.75" customHeight="1">
      <c r="C804" s="21"/>
      <c r="D804" s="21"/>
    </row>
    <row r="805" spans="3:4" ht="15.75" customHeight="1">
      <c r="C805" s="21"/>
      <c r="D805" s="21"/>
    </row>
    <row r="806" spans="3:4" ht="15.75" customHeight="1">
      <c r="C806" s="21"/>
      <c r="D806" s="21"/>
    </row>
    <row r="807" spans="3:4" ht="15.75" customHeight="1">
      <c r="C807" s="21"/>
      <c r="D807" s="21"/>
    </row>
    <row r="808" spans="3:4" ht="15.75" customHeight="1">
      <c r="C808" s="21"/>
      <c r="D808" s="21"/>
    </row>
    <row r="809" spans="3:4" ht="15.75" customHeight="1">
      <c r="C809" s="21"/>
      <c r="D809" s="21"/>
    </row>
    <row r="810" spans="3:4" ht="15.75" customHeight="1">
      <c r="C810" s="21"/>
      <c r="D810" s="21"/>
    </row>
    <row r="811" spans="3:4" ht="15.75" customHeight="1">
      <c r="C811" s="21"/>
      <c r="D811" s="21"/>
    </row>
    <row r="812" spans="3:4" ht="15.75" customHeight="1">
      <c r="C812" s="21"/>
      <c r="D812" s="21"/>
    </row>
    <row r="813" spans="3:4" ht="15.75" customHeight="1">
      <c r="C813" s="21"/>
      <c r="D813" s="21"/>
    </row>
    <row r="814" spans="3:4" ht="15.75" customHeight="1">
      <c r="C814" s="21"/>
      <c r="D814" s="21"/>
    </row>
    <row r="815" spans="3:4" ht="15.75" customHeight="1">
      <c r="C815" s="21"/>
      <c r="D815" s="21"/>
    </row>
    <row r="816" spans="3:4" ht="15.75" customHeight="1">
      <c r="C816" s="21"/>
      <c r="D816" s="21"/>
    </row>
    <row r="817" spans="3:4" ht="15.75" customHeight="1">
      <c r="C817" s="21"/>
      <c r="D817" s="21"/>
    </row>
    <row r="818" spans="3:4" ht="15.75" customHeight="1">
      <c r="C818" s="21"/>
      <c r="D818" s="21"/>
    </row>
    <row r="819" spans="3:4" ht="15.75" customHeight="1">
      <c r="C819" s="21"/>
      <c r="D819" s="21"/>
    </row>
    <row r="820" spans="3:4" ht="15.75" customHeight="1">
      <c r="C820" s="21"/>
      <c r="D820" s="21"/>
    </row>
    <row r="821" spans="3:4" ht="15.75" customHeight="1">
      <c r="C821" s="21"/>
      <c r="D821" s="21"/>
    </row>
    <row r="822" spans="3:4" ht="15.75" customHeight="1">
      <c r="C822" s="21"/>
      <c r="D822" s="21"/>
    </row>
    <row r="823" spans="3:4" ht="15.75" customHeight="1">
      <c r="C823" s="21"/>
      <c r="D823" s="21"/>
    </row>
    <row r="824" spans="3:4" ht="15.75" customHeight="1">
      <c r="C824" s="21"/>
      <c r="D824" s="21"/>
    </row>
    <row r="825" spans="3:4" ht="15.75" customHeight="1">
      <c r="C825" s="21"/>
      <c r="D825" s="21"/>
    </row>
    <row r="826" spans="3:4" ht="15.75" customHeight="1">
      <c r="C826" s="21"/>
      <c r="D826" s="21"/>
    </row>
    <row r="827" spans="3:4" ht="15.75" customHeight="1">
      <c r="C827" s="21"/>
      <c r="D827" s="21"/>
    </row>
    <row r="828" spans="3:4" ht="15.75" customHeight="1">
      <c r="C828" s="21"/>
      <c r="D828" s="21"/>
    </row>
    <row r="829" spans="3:4" ht="15.75" customHeight="1">
      <c r="C829" s="21"/>
      <c r="D829" s="21"/>
    </row>
    <row r="830" spans="3:4" ht="15.75" customHeight="1">
      <c r="C830" s="21"/>
      <c r="D830" s="21"/>
    </row>
    <row r="831" spans="3:4" ht="15.75" customHeight="1">
      <c r="C831" s="21"/>
      <c r="D831" s="21"/>
    </row>
    <row r="832" spans="3:4" ht="15.75" customHeight="1">
      <c r="C832" s="21"/>
      <c r="D832" s="21"/>
    </row>
    <row r="833" spans="3:4" ht="15.75" customHeight="1">
      <c r="C833" s="21"/>
      <c r="D833" s="21"/>
    </row>
    <row r="834" spans="3:4" ht="15.75" customHeight="1">
      <c r="C834" s="21"/>
      <c r="D834" s="21"/>
    </row>
    <row r="835" spans="3:4" ht="15.75" customHeight="1">
      <c r="C835" s="21"/>
      <c r="D835" s="21"/>
    </row>
    <row r="836" spans="3:4" ht="15.75" customHeight="1">
      <c r="C836" s="21"/>
      <c r="D836" s="21"/>
    </row>
    <row r="837" spans="3:4" ht="15.75" customHeight="1">
      <c r="C837" s="21"/>
      <c r="D837" s="21"/>
    </row>
    <row r="838" spans="3:4" ht="15.75" customHeight="1">
      <c r="C838" s="21"/>
      <c r="D838" s="21"/>
    </row>
    <row r="839" spans="3:4" ht="15.75" customHeight="1">
      <c r="C839" s="21"/>
      <c r="D839" s="21"/>
    </row>
    <row r="840" spans="3:4" ht="15.75" customHeight="1">
      <c r="C840" s="21"/>
      <c r="D840" s="21"/>
    </row>
    <row r="841" spans="3:4" ht="15.75" customHeight="1">
      <c r="C841" s="21"/>
      <c r="D841" s="21"/>
    </row>
    <row r="842" spans="3:4" ht="15.75" customHeight="1">
      <c r="C842" s="21"/>
      <c r="D842" s="21"/>
    </row>
    <row r="843" spans="3:4" ht="15.75" customHeight="1">
      <c r="C843" s="21"/>
      <c r="D843" s="21"/>
    </row>
    <row r="844" spans="3:4" ht="15.75" customHeight="1">
      <c r="C844" s="21"/>
      <c r="D844" s="21"/>
    </row>
    <row r="845" spans="3:4" ht="15.75" customHeight="1">
      <c r="C845" s="21"/>
      <c r="D845" s="21"/>
    </row>
    <row r="846" spans="3:4" ht="15.75" customHeight="1">
      <c r="C846" s="21"/>
      <c r="D846" s="21"/>
    </row>
    <row r="847" spans="3:4" ht="15.75" customHeight="1">
      <c r="C847" s="21"/>
      <c r="D847" s="21"/>
    </row>
    <row r="848" spans="3:4" ht="15.75" customHeight="1">
      <c r="C848" s="21"/>
      <c r="D848" s="21"/>
    </row>
    <row r="849" spans="3:4" ht="15.75" customHeight="1">
      <c r="C849" s="21"/>
      <c r="D849" s="21"/>
    </row>
    <row r="850" spans="3:4" ht="15.75" customHeight="1">
      <c r="C850" s="21"/>
      <c r="D850" s="21"/>
    </row>
    <row r="851" spans="3:4" ht="15.75" customHeight="1">
      <c r="C851" s="21"/>
      <c r="D851" s="21"/>
    </row>
    <row r="852" spans="3:4" ht="15.75" customHeight="1">
      <c r="C852" s="21"/>
      <c r="D852" s="21"/>
    </row>
    <row r="853" spans="3:4" ht="15.75" customHeight="1">
      <c r="C853" s="21"/>
      <c r="D853" s="21"/>
    </row>
    <row r="854" spans="3:4" ht="15.75" customHeight="1">
      <c r="C854" s="21"/>
      <c r="D854" s="21"/>
    </row>
    <row r="855" spans="3:4" ht="15.75" customHeight="1">
      <c r="C855" s="21"/>
      <c r="D855" s="21"/>
    </row>
    <row r="856" spans="3:4" ht="15.75" customHeight="1">
      <c r="C856" s="21"/>
      <c r="D856" s="21"/>
    </row>
    <row r="857" spans="3:4" ht="15.75" customHeight="1">
      <c r="C857" s="21"/>
      <c r="D857" s="21"/>
    </row>
    <row r="858" spans="3:4" ht="15.75" customHeight="1">
      <c r="C858" s="21"/>
      <c r="D858" s="21"/>
    </row>
    <row r="859" spans="3:4" ht="15.75" customHeight="1">
      <c r="C859" s="21"/>
      <c r="D859" s="21"/>
    </row>
    <row r="860" spans="3:4" ht="15.75" customHeight="1">
      <c r="C860" s="21"/>
      <c r="D860" s="21"/>
    </row>
    <row r="861" spans="3:4" ht="15.75" customHeight="1">
      <c r="C861" s="21"/>
      <c r="D861" s="21"/>
    </row>
    <row r="862" spans="3:4" ht="15.75" customHeight="1">
      <c r="C862" s="21"/>
      <c r="D862" s="21"/>
    </row>
    <row r="863" spans="3:4" ht="15.75" customHeight="1">
      <c r="C863" s="21"/>
      <c r="D863" s="21"/>
    </row>
    <row r="864" spans="3:4" ht="15.75" customHeight="1">
      <c r="C864" s="21"/>
      <c r="D864" s="21"/>
    </row>
    <row r="865" spans="3:4" ht="15.75" customHeight="1">
      <c r="C865" s="21"/>
      <c r="D865" s="21"/>
    </row>
    <row r="866" spans="3:4" ht="15.75" customHeight="1">
      <c r="C866" s="21"/>
      <c r="D866" s="21"/>
    </row>
    <row r="867" spans="3:4" ht="15.75" customHeight="1">
      <c r="C867" s="21"/>
      <c r="D867" s="21"/>
    </row>
    <row r="868" spans="3:4" ht="15.75" customHeight="1">
      <c r="C868" s="21"/>
      <c r="D868" s="21"/>
    </row>
    <row r="869" spans="3:4" ht="15.75" customHeight="1">
      <c r="C869" s="21"/>
      <c r="D869" s="21"/>
    </row>
    <row r="870" spans="3:4" ht="15.75" customHeight="1">
      <c r="C870" s="21"/>
      <c r="D870" s="21"/>
    </row>
    <row r="871" spans="3:4" ht="15.75" customHeight="1">
      <c r="C871" s="21"/>
      <c r="D871" s="21"/>
    </row>
    <row r="872" spans="3:4" ht="15.75" customHeight="1">
      <c r="C872" s="21"/>
      <c r="D872" s="21"/>
    </row>
    <row r="873" spans="3:4" ht="15.75" customHeight="1">
      <c r="C873" s="21"/>
      <c r="D873" s="21"/>
    </row>
    <row r="874" spans="3:4" ht="15.75" customHeight="1">
      <c r="C874" s="21"/>
      <c r="D874" s="21"/>
    </row>
    <row r="875" spans="3:4" ht="15.75" customHeight="1">
      <c r="C875" s="21"/>
      <c r="D875" s="21"/>
    </row>
    <row r="876" spans="3:4" ht="15.75" customHeight="1">
      <c r="C876" s="21"/>
      <c r="D876" s="21"/>
    </row>
    <row r="877" spans="3:4" ht="15.75" customHeight="1">
      <c r="C877" s="21"/>
      <c r="D877" s="21"/>
    </row>
    <row r="878" spans="3:4" ht="15.75" customHeight="1">
      <c r="C878" s="21"/>
      <c r="D878" s="21"/>
    </row>
    <row r="879" spans="3:4" ht="15.75" customHeight="1">
      <c r="C879" s="21"/>
      <c r="D879" s="21"/>
    </row>
    <row r="880" spans="3:4" ht="15.75" customHeight="1">
      <c r="C880" s="21"/>
      <c r="D880" s="21"/>
    </row>
    <row r="881" spans="3:4" ht="15.75" customHeight="1">
      <c r="C881" s="21"/>
      <c r="D881" s="21"/>
    </row>
    <row r="882" spans="3:4" ht="15.75" customHeight="1">
      <c r="C882" s="21"/>
      <c r="D882" s="21"/>
    </row>
    <row r="883" spans="3:4" ht="15.75" customHeight="1">
      <c r="C883" s="21"/>
      <c r="D883" s="21"/>
    </row>
    <row r="884" spans="3:4" ht="15.75" customHeight="1">
      <c r="C884" s="21"/>
      <c r="D884" s="21"/>
    </row>
    <row r="885" spans="3:4" ht="15.75" customHeight="1">
      <c r="C885" s="21"/>
      <c r="D885" s="21"/>
    </row>
    <row r="886" spans="3:4" ht="15.75" customHeight="1">
      <c r="C886" s="21"/>
      <c r="D886" s="21"/>
    </row>
    <row r="887" spans="3:4" ht="15.75" customHeight="1">
      <c r="C887" s="21"/>
      <c r="D887" s="21"/>
    </row>
    <row r="888" spans="3:4" ht="15.75" customHeight="1">
      <c r="C888" s="21"/>
      <c r="D888" s="21"/>
    </row>
    <row r="889" spans="3:4" ht="15.75" customHeight="1">
      <c r="C889" s="21"/>
      <c r="D889" s="21"/>
    </row>
    <row r="890" spans="3:4" ht="15.75" customHeight="1">
      <c r="C890" s="21"/>
      <c r="D890" s="21"/>
    </row>
    <row r="891" spans="3:4" ht="15.75" customHeight="1">
      <c r="C891" s="21"/>
      <c r="D891" s="21"/>
    </row>
    <row r="892" spans="3:4" ht="15.75" customHeight="1">
      <c r="C892" s="21"/>
      <c r="D892" s="21"/>
    </row>
    <row r="893" spans="3:4" ht="15.75" customHeight="1">
      <c r="C893" s="21"/>
      <c r="D893" s="21"/>
    </row>
    <row r="894" spans="3:4" ht="15.75" customHeight="1">
      <c r="C894" s="21"/>
      <c r="D894" s="21"/>
    </row>
    <row r="895" spans="3:4" ht="15.75" customHeight="1">
      <c r="C895" s="21"/>
      <c r="D895" s="21"/>
    </row>
    <row r="896" spans="3:4" ht="15.75" customHeight="1">
      <c r="C896" s="21"/>
      <c r="D896" s="21"/>
    </row>
    <row r="897" spans="3:4" ht="15.75" customHeight="1">
      <c r="C897" s="21"/>
      <c r="D897" s="21"/>
    </row>
    <row r="898" spans="3:4" ht="15.75" customHeight="1">
      <c r="C898" s="21"/>
      <c r="D898" s="21"/>
    </row>
    <row r="899" spans="3:4" ht="15.75" customHeight="1">
      <c r="C899" s="21"/>
      <c r="D899" s="21"/>
    </row>
    <row r="900" spans="3:4" ht="15.75" customHeight="1">
      <c r="C900" s="21"/>
      <c r="D900" s="21"/>
    </row>
    <row r="901" spans="3:4" ht="15.75" customHeight="1">
      <c r="C901" s="21"/>
      <c r="D901" s="21"/>
    </row>
    <row r="902" spans="3:4" ht="15.75" customHeight="1">
      <c r="C902" s="21"/>
      <c r="D902" s="21"/>
    </row>
    <row r="903" spans="3:4" ht="15.75" customHeight="1">
      <c r="C903" s="21"/>
      <c r="D903" s="21"/>
    </row>
    <row r="904" spans="3:4" ht="15.75" customHeight="1">
      <c r="C904" s="21"/>
      <c r="D904" s="21"/>
    </row>
    <row r="905" spans="3:4" ht="15.75" customHeight="1">
      <c r="C905" s="21"/>
      <c r="D905" s="21"/>
    </row>
    <row r="906" spans="3:4" ht="15.75" customHeight="1">
      <c r="C906" s="21"/>
      <c r="D906" s="21"/>
    </row>
    <row r="907" spans="3:4" ht="15.75" customHeight="1">
      <c r="C907" s="21"/>
      <c r="D907" s="21"/>
    </row>
    <row r="908" spans="3:4" ht="15.75" customHeight="1">
      <c r="C908" s="21"/>
      <c r="D908" s="21"/>
    </row>
    <row r="909" spans="3:4" ht="15.75" customHeight="1">
      <c r="C909" s="21"/>
      <c r="D909" s="21"/>
    </row>
    <row r="910" spans="3:4" ht="15.75" customHeight="1">
      <c r="C910" s="21"/>
      <c r="D910" s="21"/>
    </row>
    <row r="911" spans="3:4" ht="15.75" customHeight="1">
      <c r="C911" s="21"/>
      <c r="D911" s="21"/>
    </row>
    <row r="912" spans="3:4" ht="15.75" customHeight="1">
      <c r="C912" s="21"/>
      <c r="D912" s="21"/>
    </row>
    <row r="913" spans="3:4" ht="15.75" customHeight="1">
      <c r="C913" s="21"/>
      <c r="D913" s="21"/>
    </row>
    <row r="914" spans="3:4" ht="15.75" customHeight="1">
      <c r="C914" s="21"/>
      <c r="D914" s="21"/>
    </row>
    <row r="915" spans="3:4" ht="15.75" customHeight="1">
      <c r="C915" s="21"/>
      <c r="D915" s="21"/>
    </row>
    <row r="916" spans="3:4" ht="15.75" customHeight="1">
      <c r="C916" s="21"/>
      <c r="D916" s="21"/>
    </row>
    <row r="917" spans="3:4" ht="15.75" customHeight="1">
      <c r="C917" s="21"/>
      <c r="D917" s="21"/>
    </row>
    <row r="918" spans="3:4" ht="15.75" customHeight="1">
      <c r="C918" s="21"/>
      <c r="D918" s="21"/>
    </row>
    <row r="919" spans="3:4" ht="15.75" customHeight="1">
      <c r="C919" s="21"/>
      <c r="D919" s="21"/>
    </row>
    <row r="920" spans="3:4" ht="15.75" customHeight="1">
      <c r="C920" s="21"/>
      <c r="D920" s="21"/>
    </row>
    <row r="921" spans="3:4" ht="15.75" customHeight="1">
      <c r="C921" s="21"/>
      <c r="D921" s="21"/>
    </row>
    <row r="922" spans="3:4" ht="15.75" customHeight="1">
      <c r="C922" s="21"/>
      <c r="D922" s="21"/>
    </row>
    <row r="923" spans="3:4" ht="15.75" customHeight="1">
      <c r="C923" s="21"/>
      <c r="D923" s="21"/>
    </row>
    <row r="924" spans="3:4" ht="15.75" customHeight="1">
      <c r="C924" s="21"/>
      <c r="D924" s="21"/>
    </row>
    <row r="925" spans="3:4" ht="15.75" customHeight="1">
      <c r="C925" s="21"/>
      <c r="D925" s="21"/>
    </row>
    <row r="926" spans="3:4" ht="15.75" customHeight="1">
      <c r="C926" s="21"/>
      <c r="D926" s="21"/>
    </row>
    <row r="927" spans="3:4" ht="15.75" customHeight="1">
      <c r="C927" s="21"/>
      <c r="D927" s="21"/>
    </row>
    <row r="928" spans="3:4" ht="15.75" customHeight="1">
      <c r="C928" s="21"/>
      <c r="D928" s="21"/>
    </row>
    <row r="929" spans="3:4" ht="15.75" customHeight="1">
      <c r="C929" s="21"/>
      <c r="D929" s="21"/>
    </row>
    <row r="930" spans="3:4" ht="15.75" customHeight="1">
      <c r="C930" s="21"/>
      <c r="D930" s="21"/>
    </row>
    <row r="931" spans="3:4" ht="15.75" customHeight="1">
      <c r="C931" s="21"/>
      <c r="D931" s="21"/>
    </row>
    <row r="932" spans="3:4" ht="15.75" customHeight="1">
      <c r="C932" s="21"/>
      <c r="D932" s="21"/>
    </row>
    <row r="933" spans="3:4" ht="15.75" customHeight="1">
      <c r="C933" s="21"/>
      <c r="D933" s="21"/>
    </row>
    <row r="934" spans="3:4" ht="15.75" customHeight="1">
      <c r="C934" s="21"/>
      <c r="D934" s="21"/>
    </row>
    <row r="935" spans="3:4" ht="15.75" customHeight="1">
      <c r="C935" s="21"/>
      <c r="D935" s="21"/>
    </row>
    <row r="936" spans="3:4" ht="15.75" customHeight="1">
      <c r="C936" s="21"/>
      <c r="D936" s="21"/>
    </row>
    <row r="937" spans="3:4" ht="15.75" customHeight="1">
      <c r="C937" s="21"/>
      <c r="D937" s="21"/>
    </row>
    <row r="938" spans="3:4" ht="15.75" customHeight="1">
      <c r="C938" s="21"/>
      <c r="D938" s="21"/>
    </row>
    <row r="939" spans="3:4" ht="15.75" customHeight="1">
      <c r="C939" s="21"/>
      <c r="D939" s="21"/>
    </row>
    <row r="940" spans="3:4" ht="15.75" customHeight="1">
      <c r="C940" s="21"/>
      <c r="D940" s="21"/>
    </row>
    <row r="941" spans="3:4" ht="15.75" customHeight="1">
      <c r="C941" s="21"/>
      <c r="D941" s="21"/>
    </row>
    <row r="942" spans="3:4" ht="15.75" customHeight="1">
      <c r="C942" s="21"/>
      <c r="D942" s="21"/>
    </row>
    <row r="943" spans="3:4" ht="15.75" customHeight="1">
      <c r="C943" s="21"/>
      <c r="D943" s="21"/>
    </row>
    <row r="944" spans="3:4" ht="15.75" customHeight="1">
      <c r="C944" s="21"/>
      <c r="D944" s="21"/>
    </row>
    <row r="945" spans="3:4" ht="15.75" customHeight="1">
      <c r="C945" s="21"/>
      <c r="D945" s="21"/>
    </row>
    <row r="946" spans="3:4" ht="15.75" customHeight="1">
      <c r="C946" s="21"/>
      <c r="D946" s="21"/>
    </row>
    <row r="947" spans="3:4" ht="15.75" customHeight="1">
      <c r="C947" s="21"/>
      <c r="D947" s="21"/>
    </row>
    <row r="948" spans="3:4" ht="15.75" customHeight="1">
      <c r="C948" s="21"/>
      <c r="D948" s="21"/>
    </row>
    <row r="949" spans="3:4" ht="15.75" customHeight="1">
      <c r="C949" s="21"/>
      <c r="D949" s="21"/>
    </row>
    <row r="950" spans="3:4" ht="15.75" customHeight="1">
      <c r="C950" s="21"/>
      <c r="D950" s="21"/>
    </row>
    <row r="951" spans="3:4" ht="15.75" customHeight="1">
      <c r="C951" s="21"/>
      <c r="D951" s="21"/>
    </row>
    <row r="952" spans="3:4" ht="15.75" customHeight="1">
      <c r="C952" s="21"/>
      <c r="D952" s="21"/>
    </row>
    <row r="953" spans="3:4" ht="15.75" customHeight="1">
      <c r="C953" s="21"/>
      <c r="D953" s="21"/>
    </row>
    <row r="954" spans="3:4" ht="15.75" customHeight="1">
      <c r="C954" s="21"/>
      <c r="D954" s="21"/>
    </row>
    <row r="955" spans="3:4" ht="15.75" customHeight="1">
      <c r="C955" s="21"/>
      <c r="D955" s="21"/>
    </row>
    <row r="956" spans="3:4" ht="15.75" customHeight="1">
      <c r="C956" s="21"/>
      <c r="D956" s="21"/>
    </row>
    <row r="957" spans="3:4" ht="15.75" customHeight="1">
      <c r="C957" s="21"/>
      <c r="D957" s="21"/>
    </row>
    <row r="958" spans="3:4" ht="15.75" customHeight="1">
      <c r="C958" s="21"/>
      <c r="D958" s="21"/>
    </row>
    <row r="959" spans="3:4" ht="15.75" customHeight="1">
      <c r="C959" s="21"/>
      <c r="D959" s="21"/>
    </row>
    <row r="960" spans="3:4" ht="15.75" customHeight="1">
      <c r="C960" s="21"/>
      <c r="D960" s="21"/>
    </row>
    <row r="961" spans="3:4" ht="15.75" customHeight="1">
      <c r="C961" s="21"/>
      <c r="D961" s="21"/>
    </row>
    <row r="962" spans="3:4" ht="15.75" customHeight="1">
      <c r="C962" s="21"/>
      <c r="D962" s="21"/>
    </row>
    <row r="963" spans="3:4" ht="15.75" customHeight="1">
      <c r="C963" s="21"/>
      <c r="D963" s="21"/>
    </row>
    <row r="964" spans="3:4" ht="15.75" customHeight="1">
      <c r="C964" s="21"/>
      <c r="D964" s="21"/>
    </row>
    <row r="965" spans="3:4" ht="15.75" customHeight="1">
      <c r="C965" s="21"/>
      <c r="D965" s="21"/>
    </row>
    <row r="966" spans="3:4" ht="15.75" customHeight="1">
      <c r="C966" s="21"/>
      <c r="D966" s="21"/>
    </row>
    <row r="967" spans="3:4" ht="15.75" customHeight="1">
      <c r="C967" s="21"/>
      <c r="D967" s="21"/>
    </row>
    <row r="968" spans="3:4" ht="15.75" customHeight="1">
      <c r="C968" s="21"/>
      <c r="D968" s="21"/>
    </row>
    <row r="969" spans="3:4" ht="15.75" customHeight="1">
      <c r="C969" s="21"/>
      <c r="D969" s="21"/>
    </row>
    <row r="970" spans="3:4" ht="15.75" customHeight="1">
      <c r="C970" s="21"/>
      <c r="D970" s="21"/>
    </row>
    <row r="971" spans="3:4" ht="15.75" customHeight="1">
      <c r="C971" s="21"/>
      <c r="D971" s="21"/>
    </row>
    <row r="972" spans="3:4" ht="15.75" customHeight="1">
      <c r="C972" s="21"/>
      <c r="D972" s="21"/>
    </row>
    <row r="973" spans="3:4" ht="15.75" customHeight="1">
      <c r="C973" s="21"/>
      <c r="D973" s="21"/>
    </row>
    <row r="974" spans="3:4" ht="15.75" customHeight="1">
      <c r="C974" s="21"/>
      <c r="D974" s="21"/>
    </row>
    <row r="975" spans="3:4" ht="15.75" customHeight="1">
      <c r="C975" s="21"/>
      <c r="D975" s="21"/>
    </row>
    <row r="976" spans="3:4" ht="15.75" customHeight="1">
      <c r="C976" s="21"/>
      <c r="D976" s="21"/>
    </row>
    <row r="977" spans="3:4" ht="15.75" customHeight="1">
      <c r="C977" s="21"/>
      <c r="D977" s="21"/>
    </row>
    <row r="978" spans="3:4" ht="15.75" customHeight="1">
      <c r="C978" s="21"/>
      <c r="D978" s="21"/>
    </row>
    <row r="979" spans="3:4" ht="15.75" customHeight="1">
      <c r="C979" s="21"/>
      <c r="D979" s="21"/>
    </row>
    <row r="980" spans="3:4" ht="15.75" customHeight="1">
      <c r="C980" s="21"/>
      <c r="D980" s="21"/>
    </row>
    <row r="981" spans="3:4" ht="15.75" customHeight="1">
      <c r="C981" s="21"/>
      <c r="D981" s="21"/>
    </row>
    <row r="982" spans="3:4" ht="15.75" customHeight="1">
      <c r="C982" s="21"/>
      <c r="D982" s="21"/>
    </row>
    <row r="983" spans="3:4" ht="15.75" customHeight="1">
      <c r="C983" s="21"/>
      <c r="D983" s="21"/>
    </row>
    <row r="984" spans="3:4" ht="15.75" customHeight="1">
      <c r="C984" s="21"/>
      <c r="D984" s="21"/>
    </row>
    <row r="985" spans="3:4" ht="15.75" customHeight="1">
      <c r="C985" s="21"/>
      <c r="D985" s="21"/>
    </row>
    <row r="986" spans="3:4" ht="15.75" customHeight="1">
      <c r="C986" s="21"/>
      <c r="D986" s="21"/>
    </row>
    <row r="987" spans="3:4" ht="15.75" customHeight="1">
      <c r="C987" s="21"/>
      <c r="D987" s="21"/>
    </row>
    <row r="988" spans="3:4" ht="15.75" customHeight="1">
      <c r="C988" s="21"/>
      <c r="D988" s="21"/>
    </row>
    <row r="989" spans="3:4" ht="15.75" customHeight="1">
      <c r="C989" s="21"/>
      <c r="D989" s="21"/>
    </row>
    <row r="990" spans="3:4" ht="15.75" customHeight="1">
      <c r="C990" s="21"/>
      <c r="D990" s="21"/>
    </row>
    <row r="991" spans="3:4" ht="15.75" customHeight="1">
      <c r="C991" s="21"/>
      <c r="D991" s="21"/>
    </row>
    <row r="992" spans="3:4" ht="15.75" customHeight="1">
      <c r="C992" s="21"/>
      <c r="D992" s="21"/>
    </row>
    <row r="993" spans="3:4" ht="15.75" customHeight="1">
      <c r="C993" s="21"/>
      <c r="D993" s="21"/>
    </row>
    <row r="994" spans="3:4" ht="15.75" customHeight="1">
      <c r="C994" s="21"/>
      <c r="D994" s="21"/>
    </row>
    <row r="995" spans="3:4" ht="15.75" customHeight="1">
      <c r="C995" s="21"/>
      <c r="D995" s="21"/>
    </row>
    <row r="996" spans="3:4" ht="15.75" customHeight="1">
      <c r="C996" s="21"/>
      <c r="D996" s="21"/>
    </row>
    <row r="997" spans="3:4" ht="15.75" customHeight="1">
      <c r="C997" s="21"/>
      <c r="D997" s="21"/>
    </row>
    <row r="998" spans="3:4" ht="15.75" customHeight="1">
      <c r="C998" s="21"/>
      <c r="D998" s="21"/>
    </row>
    <row r="999" spans="3:4" ht="15.75" customHeight="1">
      <c r="C999" s="21"/>
      <c r="D999" s="21"/>
    </row>
    <row r="1000" spans="3:4" ht="15.75" customHeight="1">
      <c r="C1000" s="21"/>
      <c r="D1000" s="21"/>
    </row>
    <row r="1001" spans="3:4" ht="15.75" customHeight="1">
      <c r="C1001" s="21"/>
      <c r="D1001" s="21"/>
    </row>
    <row r="1002" spans="3:4" ht="15.75" customHeight="1">
      <c r="C1002" s="21"/>
      <c r="D1002" s="21"/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AQ1002"/>
  <sheetViews>
    <sheetView topLeftCell="AJ52" workbookViewId="0"/>
  </sheetViews>
  <sheetFormatPr defaultColWidth="14.42578125" defaultRowHeight="15" customHeight="1"/>
  <cols>
    <col min="1" max="1" width="8.7109375" customWidth="1"/>
    <col min="2" max="2" width="10.42578125" customWidth="1"/>
    <col min="3" max="3" width="8.7109375" customWidth="1"/>
    <col min="4" max="5" width="10.7109375" customWidth="1"/>
    <col min="6" max="6" width="23.42578125" customWidth="1"/>
    <col min="7" max="7" width="9.7109375" customWidth="1"/>
    <col min="8" max="8" width="22.5703125" customWidth="1"/>
    <col min="9" max="9" width="10.7109375" customWidth="1"/>
    <col min="10" max="10" width="22.5703125" hidden="1" customWidth="1"/>
    <col min="11" max="11" width="12.5703125" hidden="1" customWidth="1"/>
    <col min="12" max="12" width="36.42578125" hidden="1" customWidth="1"/>
    <col min="13" max="13" width="19.85546875" hidden="1" customWidth="1"/>
    <col min="14" max="14" width="11.85546875" hidden="1" customWidth="1"/>
    <col min="15" max="15" width="27.42578125" hidden="1" customWidth="1"/>
    <col min="16" max="16" width="12.140625" customWidth="1"/>
    <col min="17" max="17" width="35.85546875" customWidth="1"/>
    <col min="18" max="18" width="8.7109375" customWidth="1"/>
    <col min="19" max="19" width="36.42578125" customWidth="1"/>
    <col min="20" max="20" width="11" customWidth="1"/>
    <col min="21" max="21" width="34.85546875" customWidth="1"/>
    <col min="22" max="22" width="10.5703125" customWidth="1"/>
    <col min="23" max="23" width="36" customWidth="1"/>
    <col min="24" max="24" width="10.7109375" customWidth="1"/>
    <col min="25" max="25" width="30.42578125" customWidth="1"/>
    <col min="26" max="26" width="11.140625" customWidth="1"/>
    <col min="27" max="27" width="37.140625" customWidth="1"/>
    <col min="28" max="28" width="14.85546875" customWidth="1"/>
    <col min="29" max="29" width="37.140625" customWidth="1"/>
    <col min="30" max="30" width="16" customWidth="1"/>
    <col min="31" max="31" width="37.140625" customWidth="1"/>
    <col min="32" max="32" width="18.5703125" customWidth="1"/>
    <col min="33" max="33" width="37.140625" customWidth="1"/>
    <col min="34" max="34" width="21.5703125" customWidth="1"/>
    <col min="35" max="35" width="37.140625" customWidth="1"/>
    <col min="36" max="36" width="21.7109375" customWidth="1"/>
    <col min="37" max="37" width="37.140625" customWidth="1"/>
    <col min="38" max="38" width="21.85546875" customWidth="1"/>
    <col min="39" max="39" width="37.140625" customWidth="1"/>
    <col min="40" max="40" width="20.140625" customWidth="1"/>
    <col min="41" max="41" width="37.140625" customWidth="1"/>
    <col min="42" max="42" width="19.140625" customWidth="1"/>
    <col min="43" max="43" width="37.140625" customWidth="1"/>
  </cols>
  <sheetData>
    <row r="1" spans="1:43" ht="17.25" customHeight="1">
      <c r="A1" s="29" t="s">
        <v>73</v>
      </c>
      <c r="B1" s="20"/>
      <c r="C1" s="21"/>
      <c r="D1" s="21"/>
      <c r="E1" s="21"/>
      <c r="F1" s="21"/>
      <c r="G1" s="20"/>
      <c r="I1" s="20"/>
      <c r="J1" s="21"/>
      <c r="K1" s="20"/>
      <c r="L1" s="20"/>
      <c r="M1" s="20"/>
      <c r="N1" s="30"/>
      <c r="P1" s="20"/>
      <c r="Q1" s="20"/>
      <c r="R1" s="20"/>
      <c r="S1" s="20"/>
      <c r="T1" s="20"/>
      <c r="U1" s="20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</row>
    <row r="2" spans="1:43">
      <c r="A2" s="29" t="s">
        <v>63</v>
      </c>
      <c r="B2" s="20"/>
      <c r="C2" s="21"/>
      <c r="D2" s="21"/>
      <c r="E2" s="21"/>
      <c r="F2" s="21"/>
      <c r="G2" s="20"/>
      <c r="I2" s="20"/>
      <c r="J2" s="21"/>
      <c r="K2" s="20"/>
      <c r="L2" s="20"/>
      <c r="M2" s="20"/>
      <c r="N2" s="30"/>
      <c r="P2" s="20"/>
      <c r="Q2" s="20"/>
      <c r="R2" s="20"/>
      <c r="S2" s="20"/>
      <c r="T2" s="20"/>
      <c r="U2" s="20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</row>
    <row r="3" spans="1:43">
      <c r="A3" s="24" t="s">
        <v>74</v>
      </c>
      <c r="B3" s="20">
        <v>42937</v>
      </c>
      <c r="C3" s="21" t="s">
        <v>75</v>
      </c>
      <c r="D3" s="21" t="s">
        <v>65</v>
      </c>
      <c r="E3" s="21" t="s">
        <v>76</v>
      </c>
      <c r="F3" s="21" t="s">
        <v>77</v>
      </c>
      <c r="G3" s="20">
        <v>43374</v>
      </c>
      <c r="H3" t="s">
        <v>78</v>
      </c>
      <c r="I3" s="20">
        <v>43405</v>
      </c>
      <c r="J3" s="21" t="s">
        <v>79</v>
      </c>
      <c r="K3" s="20">
        <v>43345</v>
      </c>
      <c r="L3" s="20" t="s">
        <v>80</v>
      </c>
      <c r="M3" s="20" t="s">
        <v>81</v>
      </c>
      <c r="N3" s="30" t="s">
        <v>82</v>
      </c>
      <c r="O3" t="s">
        <v>83</v>
      </c>
      <c r="P3" s="20" t="s">
        <v>17</v>
      </c>
      <c r="Q3" s="20" t="s">
        <v>84</v>
      </c>
      <c r="R3" s="20">
        <v>43166</v>
      </c>
      <c r="S3" s="20" t="s">
        <v>85</v>
      </c>
      <c r="T3" s="20" t="s">
        <v>86</v>
      </c>
      <c r="U3" s="20" t="s">
        <v>87</v>
      </c>
      <c r="V3" s="15" t="s">
        <v>88</v>
      </c>
      <c r="W3" s="15" t="s">
        <v>89</v>
      </c>
      <c r="X3" s="15" t="s">
        <v>90</v>
      </c>
      <c r="Y3" s="15" t="s">
        <v>91</v>
      </c>
      <c r="Z3" s="15" t="s">
        <v>6</v>
      </c>
      <c r="AA3" s="15" t="s">
        <v>92</v>
      </c>
      <c r="AB3" s="15" t="s">
        <v>7</v>
      </c>
      <c r="AC3" s="15" t="s">
        <v>93</v>
      </c>
      <c r="AD3" s="15" t="s">
        <v>8</v>
      </c>
      <c r="AE3" s="15" t="s">
        <v>94</v>
      </c>
      <c r="AF3" s="31">
        <v>44075</v>
      </c>
      <c r="AG3" s="15" t="s">
        <v>95</v>
      </c>
      <c r="AH3" s="15" t="s">
        <v>96</v>
      </c>
      <c r="AI3" s="15" t="s">
        <v>97</v>
      </c>
      <c r="AJ3" s="31">
        <v>44024</v>
      </c>
      <c r="AK3" s="15" t="s">
        <v>98</v>
      </c>
      <c r="AL3" s="15" t="s">
        <v>99</v>
      </c>
      <c r="AM3" s="15" t="s">
        <v>100</v>
      </c>
      <c r="AN3" s="31">
        <v>44442</v>
      </c>
      <c r="AO3" s="15" t="s">
        <v>101</v>
      </c>
      <c r="AP3" s="15" t="s">
        <v>102</v>
      </c>
      <c r="AQ3" s="15" t="s">
        <v>103</v>
      </c>
    </row>
    <row r="4" spans="1:43">
      <c r="A4" s="21">
        <v>1</v>
      </c>
      <c r="B4" s="32">
        <v>7.3</v>
      </c>
      <c r="C4" s="32">
        <v>8.6999999999999993</v>
      </c>
      <c r="D4" s="32">
        <v>3.2</v>
      </c>
      <c r="E4" s="21">
        <v>2.4</v>
      </c>
      <c r="F4" s="21" t="s">
        <v>67</v>
      </c>
      <c r="G4">
        <v>3.7</v>
      </c>
      <c r="H4" t="s">
        <v>56</v>
      </c>
      <c r="I4" s="21"/>
      <c r="K4" s="21">
        <v>3</v>
      </c>
      <c r="L4" s="21"/>
      <c r="M4" s="21"/>
      <c r="N4">
        <v>3.3</v>
      </c>
      <c r="R4">
        <v>3</v>
      </c>
      <c r="S4" t="s">
        <v>56</v>
      </c>
      <c r="T4" s="33">
        <v>2.9</v>
      </c>
      <c r="U4" s="15" t="s">
        <v>56</v>
      </c>
      <c r="V4" s="34">
        <v>2.7</v>
      </c>
      <c r="W4" s="15" t="s">
        <v>56</v>
      </c>
      <c r="X4" s="35">
        <v>3.1</v>
      </c>
      <c r="Y4" s="15" t="s">
        <v>56</v>
      </c>
      <c r="Z4" s="35">
        <v>2.8</v>
      </c>
      <c r="AA4" s="15" t="s">
        <v>56</v>
      </c>
      <c r="AB4" s="36">
        <v>3</v>
      </c>
      <c r="AC4" s="15" t="s">
        <v>56</v>
      </c>
      <c r="AD4" s="36">
        <v>2.9</v>
      </c>
      <c r="AE4" s="15" t="s">
        <v>56</v>
      </c>
      <c r="AF4" s="36">
        <v>5.52</v>
      </c>
      <c r="AG4" s="15" t="s">
        <v>56</v>
      </c>
      <c r="AH4" s="34">
        <v>2.93</v>
      </c>
      <c r="AI4" s="15" t="s">
        <v>56</v>
      </c>
      <c r="AJ4" s="37">
        <v>3.05</v>
      </c>
      <c r="AK4" s="15" t="s">
        <v>56</v>
      </c>
      <c r="AL4" s="34">
        <v>3.26</v>
      </c>
      <c r="AM4" s="15" t="s">
        <v>56</v>
      </c>
      <c r="AN4" s="37">
        <v>3.26</v>
      </c>
      <c r="AO4" s="15" t="s">
        <v>56</v>
      </c>
      <c r="AP4" s="37">
        <v>3.6</v>
      </c>
      <c r="AQ4" s="15" t="s">
        <v>56</v>
      </c>
    </row>
    <row r="5" spans="1:43">
      <c r="A5" s="21">
        <v>2</v>
      </c>
      <c r="B5" s="21">
        <v>4.9000000000000004</v>
      </c>
      <c r="C5" s="38">
        <v>9.1</v>
      </c>
      <c r="D5" s="32">
        <v>3.2</v>
      </c>
      <c r="E5" s="21">
        <v>3.1</v>
      </c>
      <c r="F5" s="21" t="s">
        <v>67</v>
      </c>
      <c r="G5">
        <v>3.1</v>
      </c>
      <c r="H5" s="21" t="s">
        <v>56</v>
      </c>
      <c r="I5" s="21"/>
      <c r="K5" s="21">
        <v>3.2</v>
      </c>
      <c r="L5" s="21"/>
      <c r="M5" s="21"/>
      <c r="N5">
        <v>3</v>
      </c>
      <c r="R5">
        <v>3.9</v>
      </c>
      <c r="S5" s="21" t="s">
        <v>56</v>
      </c>
      <c r="T5" s="33">
        <v>3.1</v>
      </c>
      <c r="U5" s="15" t="s">
        <v>56</v>
      </c>
      <c r="V5" s="34">
        <v>3</v>
      </c>
      <c r="W5" s="15" t="s">
        <v>56</v>
      </c>
      <c r="X5" s="35">
        <v>2.7</v>
      </c>
      <c r="Y5" s="15" t="s">
        <v>56</v>
      </c>
      <c r="Z5" s="35">
        <v>3.3</v>
      </c>
      <c r="AA5" s="15" t="s">
        <v>56</v>
      </c>
      <c r="AB5" s="36">
        <v>3.2</v>
      </c>
      <c r="AC5" s="15" t="s">
        <v>56</v>
      </c>
      <c r="AD5" s="36">
        <v>2.8</v>
      </c>
      <c r="AE5" s="15" t="s">
        <v>56</v>
      </c>
      <c r="AF5" s="36">
        <v>6.56</v>
      </c>
      <c r="AG5" s="15" t="s">
        <v>56</v>
      </c>
      <c r="AH5" s="34">
        <v>3.63</v>
      </c>
      <c r="AI5" s="15" t="s">
        <v>56</v>
      </c>
      <c r="AJ5" s="37">
        <v>3.33</v>
      </c>
      <c r="AK5" s="15" t="s">
        <v>56</v>
      </c>
      <c r="AL5" s="34">
        <v>3.27</v>
      </c>
      <c r="AM5" s="15" t="s">
        <v>56</v>
      </c>
      <c r="AN5" s="37">
        <v>3.4</v>
      </c>
      <c r="AO5" s="15" t="s">
        <v>56</v>
      </c>
      <c r="AP5" s="37">
        <v>4.2</v>
      </c>
      <c r="AQ5" s="15" t="s">
        <v>56</v>
      </c>
    </row>
    <row r="6" spans="1:43">
      <c r="A6" s="21">
        <v>3</v>
      </c>
      <c r="B6" s="21">
        <v>2.5</v>
      </c>
      <c r="C6" s="21">
        <v>2.7</v>
      </c>
      <c r="D6" s="21">
        <v>3.5</v>
      </c>
      <c r="E6" s="21">
        <v>3.1</v>
      </c>
      <c r="F6" s="21" t="s">
        <v>67</v>
      </c>
      <c r="G6">
        <v>3.3</v>
      </c>
      <c r="H6" s="21" t="s">
        <v>56</v>
      </c>
      <c r="I6" s="21"/>
      <c r="K6" s="21">
        <v>3.3</v>
      </c>
      <c r="L6" s="21"/>
      <c r="M6" s="21"/>
      <c r="N6">
        <v>3.7</v>
      </c>
      <c r="R6">
        <v>3.2</v>
      </c>
      <c r="S6" s="21" t="s">
        <v>56</v>
      </c>
      <c r="T6" s="33">
        <v>3.3</v>
      </c>
      <c r="U6" s="15" t="s">
        <v>56</v>
      </c>
      <c r="V6" s="34">
        <v>3.2</v>
      </c>
      <c r="W6" s="15" t="s">
        <v>56</v>
      </c>
      <c r="X6" s="35">
        <v>3.3</v>
      </c>
      <c r="Y6" s="15" t="s">
        <v>56</v>
      </c>
      <c r="Z6" s="35">
        <v>3.7</v>
      </c>
      <c r="AA6" s="15" t="s">
        <v>56</v>
      </c>
      <c r="AB6" s="36">
        <v>3.2</v>
      </c>
      <c r="AC6" s="15" t="s">
        <v>56</v>
      </c>
      <c r="AD6" s="36">
        <v>2.5</v>
      </c>
      <c r="AE6" s="15" t="s">
        <v>56</v>
      </c>
      <c r="AF6" s="36">
        <v>5.74</v>
      </c>
      <c r="AG6" s="15" t="s">
        <v>56</v>
      </c>
      <c r="AH6" s="34">
        <v>3.34</v>
      </c>
      <c r="AI6" s="15" t="s">
        <v>56</v>
      </c>
      <c r="AJ6" s="37">
        <v>3.36</v>
      </c>
      <c r="AK6" s="15" t="s">
        <v>56</v>
      </c>
      <c r="AL6" s="34">
        <v>3.38</v>
      </c>
      <c r="AM6" s="15" t="s">
        <v>56</v>
      </c>
      <c r="AN6" s="37">
        <v>3.43</v>
      </c>
      <c r="AO6" s="15" t="s">
        <v>56</v>
      </c>
      <c r="AP6" s="37">
        <v>3.2</v>
      </c>
      <c r="AQ6" s="15" t="s">
        <v>56</v>
      </c>
    </row>
    <row r="7" spans="1:43">
      <c r="A7" s="21">
        <v>4</v>
      </c>
      <c r="B7" s="21">
        <v>6.2</v>
      </c>
      <c r="C7" s="21">
        <v>7.1</v>
      </c>
      <c r="D7" s="21">
        <v>7.1</v>
      </c>
      <c r="E7" s="21">
        <v>6.6</v>
      </c>
      <c r="F7" s="21" t="s">
        <v>67</v>
      </c>
      <c r="G7">
        <v>8.6</v>
      </c>
      <c r="H7" s="21" t="s">
        <v>56</v>
      </c>
      <c r="I7" s="21"/>
      <c r="K7" s="23">
        <v>9</v>
      </c>
      <c r="L7" s="39" t="s">
        <v>104</v>
      </c>
      <c r="M7" s="39">
        <v>2.2999999999999998</v>
      </c>
      <c r="N7">
        <v>3.1</v>
      </c>
      <c r="R7">
        <v>2.9</v>
      </c>
      <c r="S7" s="21" t="s">
        <v>56</v>
      </c>
      <c r="T7" s="33">
        <v>3.2</v>
      </c>
      <c r="U7" s="15" t="s">
        <v>56</v>
      </c>
      <c r="V7" s="34">
        <v>3.7</v>
      </c>
      <c r="W7" s="15" t="s">
        <v>56</v>
      </c>
      <c r="X7" s="35">
        <v>2.7</v>
      </c>
      <c r="Y7" s="15" t="s">
        <v>56</v>
      </c>
      <c r="Z7" s="35">
        <v>3.5</v>
      </c>
      <c r="AA7" s="15" t="s">
        <v>56</v>
      </c>
      <c r="AB7" s="36">
        <v>3.4</v>
      </c>
      <c r="AC7" s="15" t="s">
        <v>56</v>
      </c>
      <c r="AD7" s="36">
        <v>3.6</v>
      </c>
      <c r="AE7" s="15" t="s">
        <v>56</v>
      </c>
      <c r="AF7" s="36">
        <v>6.8</v>
      </c>
      <c r="AG7" s="15" t="s">
        <v>56</v>
      </c>
      <c r="AH7" s="34">
        <v>3.19</v>
      </c>
      <c r="AI7" s="15" t="s">
        <v>56</v>
      </c>
      <c r="AJ7" s="37">
        <v>3.45</v>
      </c>
      <c r="AK7" s="15" t="s">
        <v>56</v>
      </c>
      <c r="AL7" s="34">
        <v>3.43</v>
      </c>
      <c r="AM7" s="15" t="s">
        <v>56</v>
      </c>
      <c r="AN7" s="37">
        <v>3.51</v>
      </c>
      <c r="AO7" s="15" t="s">
        <v>56</v>
      </c>
      <c r="AP7" s="37">
        <v>3.5</v>
      </c>
      <c r="AQ7" s="15" t="s">
        <v>56</v>
      </c>
    </row>
    <row r="8" spans="1:43">
      <c r="A8" s="21">
        <v>5</v>
      </c>
      <c r="B8" s="38">
        <v>9.8000000000000007</v>
      </c>
      <c r="C8" s="23">
        <v>71.8</v>
      </c>
      <c r="D8" s="23">
        <v>9.4</v>
      </c>
      <c r="E8" s="21">
        <v>7.9</v>
      </c>
      <c r="F8" s="21" t="s">
        <v>67</v>
      </c>
      <c r="G8">
        <v>8.4</v>
      </c>
      <c r="H8" s="21" t="s">
        <v>56</v>
      </c>
      <c r="I8" s="21"/>
      <c r="K8" s="21">
        <v>8.6</v>
      </c>
      <c r="L8" s="21"/>
      <c r="M8" s="21"/>
      <c r="N8">
        <v>8.1999999999999993</v>
      </c>
      <c r="R8">
        <v>3.5</v>
      </c>
      <c r="S8" s="21" t="s">
        <v>56</v>
      </c>
      <c r="T8" s="33">
        <v>3.4</v>
      </c>
      <c r="U8" s="15" t="s">
        <v>56</v>
      </c>
      <c r="V8" s="34">
        <v>2.6</v>
      </c>
      <c r="W8" s="15" t="s">
        <v>56</v>
      </c>
      <c r="X8" s="35">
        <v>3.1</v>
      </c>
      <c r="Y8" s="15" t="s">
        <v>56</v>
      </c>
      <c r="Z8" s="35">
        <v>2.8</v>
      </c>
      <c r="AA8" s="15" t="s">
        <v>56</v>
      </c>
      <c r="AB8" s="36">
        <v>2.9</v>
      </c>
      <c r="AC8" s="15" t="s">
        <v>56</v>
      </c>
      <c r="AD8" s="36">
        <v>3.5</v>
      </c>
      <c r="AE8" s="15" t="s">
        <v>56</v>
      </c>
      <c r="AF8" s="36">
        <v>6.07</v>
      </c>
      <c r="AG8" s="15" t="s">
        <v>56</v>
      </c>
      <c r="AH8" s="34">
        <v>3.51</v>
      </c>
      <c r="AI8" s="15" t="s">
        <v>56</v>
      </c>
      <c r="AJ8" s="37">
        <v>3.19</v>
      </c>
      <c r="AK8" s="15" t="s">
        <v>56</v>
      </c>
      <c r="AL8" s="34">
        <v>3.25</v>
      </c>
      <c r="AM8" s="15" t="s">
        <v>56</v>
      </c>
      <c r="AN8" s="37">
        <v>3.29</v>
      </c>
      <c r="AO8" s="15" t="s">
        <v>56</v>
      </c>
      <c r="AP8" s="37">
        <v>4</v>
      </c>
      <c r="AQ8" s="15" t="s">
        <v>56</v>
      </c>
    </row>
    <row r="9" spans="1:43">
      <c r="A9" s="21">
        <v>6</v>
      </c>
      <c r="B9" s="21">
        <v>7.7</v>
      </c>
      <c r="C9" s="21">
        <v>8.1999999999999993</v>
      </c>
      <c r="D9" s="21">
        <v>7.2</v>
      </c>
      <c r="E9" s="21">
        <v>8</v>
      </c>
      <c r="F9" s="21" t="s">
        <v>67</v>
      </c>
      <c r="G9" s="40">
        <v>9.6999999999999993</v>
      </c>
      <c r="H9" s="23" t="s">
        <v>58</v>
      </c>
      <c r="I9" s="23">
        <v>2.5</v>
      </c>
      <c r="J9" s="39" t="s">
        <v>105</v>
      </c>
      <c r="K9" s="21">
        <v>3</v>
      </c>
      <c r="L9" s="21"/>
      <c r="M9" s="21"/>
      <c r="N9">
        <v>3.3</v>
      </c>
      <c r="R9">
        <v>3.5</v>
      </c>
      <c r="S9" s="21" t="s">
        <v>56</v>
      </c>
      <c r="T9" s="33">
        <v>3.2</v>
      </c>
      <c r="U9" s="15" t="s">
        <v>56</v>
      </c>
      <c r="V9" s="34">
        <v>3.3</v>
      </c>
      <c r="W9" s="15" t="s">
        <v>56</v>
      </c>
      <c r="X9" s="35">
        <v>3.1</v>
      </c>
      <c r="Y9" s="15" t="s">
        <v>56</v>
      </c>
      <c r="Z9" s="35">
        <v>7.5</v>
      </c>
      <c r="AA9" s="15" t="s">
        <v>56</v>
      </c>
      <c r="AB9" s="36">
        <v>3</v>
      </c>
      <c r="AC9" s="15" t="s">
        <v>56</v>
      </c>
      <c r="AD9" s="36">
        <v>3.2</v>
      </c>
      <c r="AE9" s="15" t="s">
        <v>56</v>
      </c>
      <c r="AF9" s="41"/>
      <c r="AG9" s="15" t="s">
        <v>106</v>
      </c>
      <c r="AH9" s="34">
        <v>3.34</v>
      </c>
      <c r="AI9" s="15" t="s">
        <v>56</v>
      </c>
      <c r="AJ9" s="37">
        <v>3.31</v>
      </c>
      <c r="AK9" s="15" t="s">
        <v>56</v>
      </c>
      <c r="AL9" s="34">
        <v>3.41</v>
      </c>
      <c r="AM9" s="15" t="s">
        <v>56</v>
      </c>
      <c r="AN9" s="37">
        <v>3.48</v>
      </c>
      <c r="AO9" s="15" t="s">
        <v>56</v>
      </c>
      <c r="AP9" s="37">
        <v>2.5</v>
      </c>
      <c r="AQ9" s="15" t="s">
        <v>56</v>
      </c>
    </row>
    <row r="10" spans="1:43">
      <c r="A10" s="21">
        <v>7</v>
      </c>
      <c r="B10" s="21">
        <v>7.2</v>
      </c>
      <c r="C10" s="21">
        <v>6.8</v>
      </c>
      <c r="D10" s="21">
        <v>6.9</v>
      </c>
      <c r="E10" s="21">
        <v>7.4</v>
      </c>
      <c r="F10" s="21" t="s">
        <v>67</v>
      </c>
      <c r="G10" s="40">
        <v>10.5</v>
      </c>
      <c r="H10" s="23" t="s">
        <v>58</v>
      </c>
      <c r="I10" s="23">
        <v>2.8</v>
      </c>
      <c r="J10" s="39" t="s">
        <v>105</v>
      </c>
      <c r="K10" s="21">
        <v>2.8</v>
      </c>
      <c r="L10" s="21"/>
      <c r="M10" s="21"/>
      <c r="N10">
        <v>3.2</v>
      </c>
      <c r="R10">
        <v>2.8</v>
      </c>
      <c r="S10" s="21" t="s">
        <v>56</v>
      </c>
      <c r="T10" s="33">
        <v>2.9</v>
      </c>
      <c r="U10" s="15" t="s">
        <v>56</v>
      </c>
      <c r="V10" s="34">
        <v>3</v>
      </c>
      <c r="W10" s="15" t="s">
        <v>56</v>
      </c>
      <c r="X10" s="35">
        <v>3</v>
      </c>
      <c r="Y10" s="15" t="s">
        <v>56</v>
      </c>
      <c r="Z10" s="35">
        <v>2.9</v>
      </c>
      <c r="AA10" s="15" t="s">
        <v>56</v>
      </c>
      <c r="AB10" s="36">
        <v>3.2</v>
      </c>
      <c r="AC10" s="15" t="s">
        <v>56</v>
      </c>
      <c r="AD10" s="36">
        <v>2.7</v>
      </c>
      <c r="AE10" s="15" t="s">
        <v>56</v>
      </c>
      <c r="AF10" s="36">
        <v>5.25</v>
      </c>
      <c r="AG10" s="15" t="s">
        <v>56</v>
      </c>
      <c r="AH10" s="34">
        <v>2.97</v>
      </c>
      <c r="AI10" s="15" t="s">
        <v>56</v>
      </c>
      <c r="AJ10" s="37">
        <v>3.13</v>
      </c>
      <c r="AK10" s="15" t="s">
        <v>56</v>
      </c>
      <c r="AL10" s="34">
        <v>3.25</v>
      </c>
      <c r="AM10" s="15" t="s">
        <v>56</v>
      </c>
      <c r="AN10" s="37">
        <v>3.23</v>
      </c>
      <c r="AO10" s="15" t="s">
        <v>56</v>
      </c>
      <c r="AP10" s="37">
        <v>3.4</v>
      </c>
      <c r="AQ10" s="15" t="s">
        <v>56</v>
      </c>
    </row>
    <row r="11" spans="1:43">
      <c r="A11" s="21">
        <v>8</v>
      </c>
      <c r="B11" s="21">
        <v>5.8</v>
      </c>
      <c r="C11" s="21">
        <v>10</v>
      </c>
      <c r="D11" s="21">
        <v>9.6</v>
      </c>
      <c r="E11" s="42">
        <v>9.6999999999999993</v>
      </c>
      <c r="F11" s="42" t="s">
        <v>71</v>
      </c>
      <c r="G11">
        <v>2.9</v>
      </c>
      <c r="H11" t="s">
        <v>56</v>
      </c>
      <c r="I11" s="21"/>
      <c r="K11" s="21">
        <v>3.1</v>
      </c>
      <c r="L11" s="21"/>
      <c r="M11" s="21"/>
      <c r="N11">
        <v>3.2</v>
      </c>
      <c r="R11">
        <v>3.9</v>
      </c>
      <c r="S11" s="21" t="s">
        <v>56</v>
      </c>
      <c r="T11" s="33">
        <v>2.6</v>
      </c>
      <c r="U11" s="15" t="s">
        <v>56</v>
      </c>
      <c r="V11" s="34">
        <v>2.6</v>
      </c>
      <c r="W11" s="15" t="s">
        <v>56</v>
      </c>
      <c r="X11" s="35">
        <v>3.4</v>
      </c>
      <c r="Y11" s="15" t="s">
        <v>56</v>
      </c>
      <c r="Z11" s="35">
        <v>3.2</v>
      </c>
      <c r="AA11" s="15" t="s">
        <v>56</v>
      </c>
      <c r="AB11" s="36">
        <v>3.2</v>
      </c>
      <c r="AC11" s="15" t="s">
        <v>56</v>
      </c>
      <c r="AD11" s="36">
        <v>3.1</v>
      </c>
      <c r="AE11" s="15" t="s">
        <v>56</v>
      </c>
      <c r="AF11" s="36">
        <v>3.09</v>
      </c>
      <c r="AG11" s="15" t="s">
        <v>56</v>
      </c>
      <c r="AH11" s="34">
        <v>3.23</v>
      </c>
      <c r="AI11" s="15" t="s">
        <v>56</v>
      </c>
      <c r="AJ11" s="37">
        <v>3.24</v>
      </c>
      <c r="AK11" s="15" t="s">
        <v>56</v>
      </c>
      <c r="AL11" s="34">
        <v>3.2</v>
      </c>
      <c r="AM11" s="15" t="s">
        <v>56</v>
      </c>
      <c r="AN11" s="37">
        <v>3.22</v>
      </c>
      <c r="AO11" s="15" t="s">
        <v>56</v>
      </c>
      <c r="AP11" s="37">
        <v>3.1</v>
      </c>
      <c r="AQ11" s="15" t="s">
        <v>56</v>
      </c>
    </row>
    <row r="12" spans="1:43">
      <c r="A12" s="21">
        <v>9</v>
      </c>
      <c r="B12" s="21">
        <v>7.5</v>
      </c>
      <c r="C12" s="38">
        <v>10.6</v>
      </c>
      <c r="D12" s="32">
        <v>8.3000000000000007</v>
      </c>
      <c r="E12" s="21">
        <v>8.6</v>
      </c>
      <c r="F12" s="21" t="s">
        <v>67</v>
      </c>
      <c r="G12">
        <v>6.8</v>
      </c>
      <c r="H12" s="21" t="s">
        <v>56</v>
      </c>
      <c r="I12" s="21"/>
      <c r="K12" s="21">
        <v>7.3</v>
      </c>
      <c r="L12" s="21"/>
      <c r="M12" s="21"/>
      <c r="N12">
        <v>7.9</v>
      </c>
      <c r="R12">
        <v>3.6</v>
      </c>
      <c r="S12" s="21" t="s">
        <v>56</v>
      </c>
      <c r="T12" s="33">
        <v>3.5</v>
      </c>
      <c r="U12" s="15" t="s">
        <v>56</v>
      </c>
      <c r="V12" s="34">
        <v>3.1</v>
      </c>
      <c r="W12" s="15" t="s">
        <v>56</v>
      </c>
      <c r="X12" s="35">
        <v>2.9</v>
      </c>
      <c r="Y12" s="15" t="s">
        <v>56</v>
      </c>
      <c r="Z12" s="35">
        <v>3.4</v>
      </c>
      <c r="AA12" s="15" t="s">
        <v>56</v>
      </c>
      <c r="AB12" s="36">
        <v>3.3</v>
      </c>
      <c r="AC12" s="15" t="s">
        <v>56</v>
      </c>
      <c r="AD12" s="36">
        <v>4</v>
      </c>
      <c r="AE12" s="15" t="s">
        <v>56</v>
      </c>
      <c r="AF12" s="36">
        <v>3.32</v>
      </c>
      <c r="AG12" s="15" t="s">
        <v>56</v>
      </c>
      <c r="AH12" s="34">
        <v>3.55</v>
      </c>
      <c r="AI12" s="15" t="s">
        <v>56</v>
      </c>
      <c r="AJ12" s="37">
        <v>3.28</v>
      </c>
      <c r="AK12" s="15" t="s">
        <v>56</v>
      </c>
      <c r="AL12" s="34">
        <v>3.36</v>
      </c>
      <c r="AM12" s="15" t="s">
        <v>56</v>
      </c>
      <c r="AN12" s="37">
        <v>3.4</v>
      </c>
      <c r="AO12" s="15" t="s">
        <v>56</v>
      </c>
      <c r="AP12" s="37">
        <v>2.9</v>
      </c>
      <c r="AQ12" s="15" t="s">
        <v>56</v>
      </c>
    </row>
    <row r="13" spans="1:43">
      <c r="A13" s="21">
        <v>10</v>
      </c>
      <c r="B13" s="21">
        <v>8.3000000000000007</v>
      </c>
      <c r="C13" s="21">
        <v>7.9</v>
      </c>
      <c r="D13" s="21">
        <v>3.3</v>
      </c>
      <c r="E13" s="21">
        <v>3.3</v>
      </c>
      <c r="F13" s="21" t="s">
        <v>67</v>
      </c>
      <c r="G13">
        <v>8.1</v>
      </c>
      <c r="H13" s="21" t="s">
        <v>56</v>
      </c>
      <c r="I13" s="21"/>
      <c r="K13" s="21">
        <v>7.5</v>
      </c>
      <c r="L13" s="21"/>
      <c r="M13" s="21"/>
      <c r="N13">
        <v>7</v>
      </c>
      <c r="R13">
        <v>3.3</v>
      </c>
      <c r="S13" s="21" t="s">
        <v>56</v>
      </c>
      <c r="T13" s="33">
        <v>3</v>
      </c>
      <c r="U13" s="15" t="s">
        <v>56</v>
      </c>
      <c r="V13" s="34">
        <v>3.2</v>
      </c>
      <c r="W13" s="15" t="s">
        <v>56</v>
      </c>
      <c r="X13" s="35">
        <v>3.3</v>
      </c>
      <c r="Y13" s="15" t="s">
        <v>56</v>
      </c>
      <c r="Z13" s="35">
        <v>3.1</v>
      </c>
      <c r="AA13" s="15" t="s">
        <v>56</v>
      </c>
      <c r="AB13" s="36">
        <v>3.2</v>
      </c>
      <c r="AC13" s="15" t="s">
        <v>56</v>
      </c>
      <c r="AD13" s="36">
        <v>3.1</v>
      </c>
      <c r="AE13" s="15" t="s">
        <v>56</v>
      </c>
      <c r="AF13" s="36">
        <v>3.11</v>
      </c>
      <c r="AG13" s="15" t="s">
        <v>56</v>
      </c>
      <c r="AH13" s="34">
        <v>3.65</v>
      </c>
      <c r="AI13" s="15" t="s">
        <v>56</v>
      </c>
      <c r="AJ13" s="37">
        <v>3.22</v>
      </c>
      <c r="AK13" s="15" t="s">
        <v>56</v>
      </c>
      <c r="AL13" s="34">
        <v>3.46</v>
      </c>
      <c r="AM13" s="15" t="s">
        <v>56</v>
      </c>
      <c r="AN13" s="37">
        <v>3.43</v>
      </c>
      <c r="AO13" s="15" t="s">
        <v>56</v>
      </c>
      <c r="AP13" s="37">
        <v>3.2</v>
      </c>
      <c r="AQ13" s="15" t="s">
        <v>56</v>
      </c>
    </row>
    <row r="14" spans="1:43">
      <c r="A14" s="21">
        <v>11</v>
      </c>
      <c r="B14" s="21">
        <v>7.3</v>
      </c>
      <c r="C14" s="21">
        <v>6.3</v>
      </c>
      <c r="D14" s="21">
        <v>3.2</v>
      </c>
      <c r="E14" s="21">
        <v>3.1</v>
      </c>
      <c r="F14" s="21" t="s">
        <v>67</v>
      </c>
      <c r="G14">
        <v>8.6999999999999993</v>
      </c>
      <c r="H14" s="21" t="s">
        <v>56</v>
      </c>
      <c r="I14" s="21"/>
      <c r="K14" s="21">
        <v>8.9</v>
      </c>
      <c r="L14" s="21"/>
      <c r="M14" s="21"/>
      <c r="N14" s="23">
        <v>10.199999999999999</v>
      </c>
      <c r="O14" s="23" t="s">
        <v>107</v>
      </c>
      <c r="R14">
        <v>3.4</v>
      </c>
      <c r="S14" s="21" t="s">
        <v>56</v>
      </c>
      <c r="T14" s="33">
        <v>2.8</v>
      </c>
      <c r="U14" s="15" t="s">
        <v>56</v>
      </c>
      <c r="V14" s="34">
        <v>3</v>
      </c>
      <c r="W14" s="15" t="s">
        <v>56</v>
      </c>
      <c r="X14" s="35">
        <v>2.8</v>
      </c>
      <c r="Y14" s="15" t="s">
        <v>56</v>
      </c>
      <c r="Z14" s="35">
        <v>3.2</v>
      </c>
      <c r="AA14" s="15" t="s">
        <v>56</v>
      </c>
      <c r="AB14" s="36">
        <v>3.3</v>
      </c>
      <c r="AC14" s="15" t="s">
        <v>56</v>
      </c>
      <c r="AD14" s="36">
        <v>3</v>
      </c>
      <c r="AE14" s="15" t="s">
        <v>56</v>
      </c>
      <c r="AF14" s="36">
        <v>3.08</v>
      </c>
      <c r="AG14" s="15" t="s">
        <v>56</v>
      </c>
      <c r="AH14" s="34">
        <v>3.55</v>
      </c>
      <c r="AI14" s="15" t="s">
        <v>56</v>
      </c>
      <c r="AJ14" s="37">
        <v>3.14</v>
      </c>
      <c r="AK14" s="15" t="s">
        <v>56</v>
      </c>
      <c r="AL14" s="34">
        <v>3.36</v>
      </c>
      <c r="AM14" s="15" t="s">
        <v>56</v>
      </c>
      <c r="AN14" s="37">
        <v>3.31</v>
      </c>
      <c r="AO14" s="15" t="s">
        <v>56</v>
      </c>
      <c r="AP14" s="37">
        <v>3.5</v>
      </c>
      <c r="AQ14" s="15" t="s">
        <v>56</v>
      </c>
    </row>
    <row r="15" spans="1:43">
      <c r="A15" s="21">
        <v>12</v>
      </c>
      <c r="B15" s="21">
        <v>5.7</v>
      </c>
      <c r="C15" s="21">
        <v>6.7</v>
      </c>
      <c r="D15" s="21">
        <v>3.3</v>
      </c>
      <c r="E15" s="21">
        <v>2.6</v>
      </c>
      <c r="F15" s="21" t="s">
        <v>67</v>
      </c>
      <c r="G15">
        <v>3.1</v>
      </c>
      <c r="H15" s="21" t="s">
        <v>56</v>
      </c>
      <c r="I15" s="21"/>
      <c r="K15" s="21">
        <v>3</v>
      </c>
      <c r="L15" s="21"/>
      <c r="M15" s="21"/>
      <c r="N15">
        <v>3.2</v>
      </c>
      <c r="R15">
        <v>3</v>
      </c>
      <c r="S15" s="21" t="s">
        <v>56</v>
      </c>
      <c r="T15" s="33">
        <v>3.3</v>
      </c>
      <c r="U15" s="15" t="s">
        <v>56</v>
      </c>
      <c r="V15" s="34">
        <v>3</v>
      </c>
      <c r="W15" s="15" t="s">
        <v>56</v>
      </c>
      <c r="X15" s="35">
        <v>2.6</v>
      </c>
      <c r="Y15" s="15" t="s">
        <v>56</v>
      </c>
      <c r="Z15" s="35">
        <v>3.2</v>
      </c>
      <c r="AA15" s="15" t="s">
        <v>56</v>
      </c>
      <c r="AB15" s="36">
        <v>3.3</v>
      </c>
      <c r="AC15" s="15" t="s">
        <v>56</v>
      </c>
      <c r="AD15" s="36">
        <v>3.1</v>
      </c>
      <c r="AE15" s="15" t="s">
        <v>56</v>
      </c>
      <c r="AF15" s="36">
        <v>3.61</v>
      </c>
      <c r="AG15" s="15" t="s">
        <v>56</v>
      </c>
      <c r="AH15" s="34">
        <v>3.09</v>
      </c>
      <c r="AI15" s="15" t="s">
        <v>56</v>
      </c>
      <c r="AJ15" s="37">
        <v>3.15</v>
      </c>
      <c r="AK15" s="15" t="s">
        <v>56</v>
      </c>
      <c r="AL15" s="34">
        <v>3.25</v>
      </c>
      <c r="AM15" s="15" t="s">
        <v>56</v>
      </c>
      <c r="AN15" s="37">
        <v>3.44</v>
      </c>
      <c r="AO15" s="15" t="s">
        <v>56</v>
      </c>
      <c r="AP15" s="37">
        <v>3.6</v>
      </c>
      <c r="AQ15" s="15" t="s">
        <v>56</v>
      </c>
    </row>
    <row r="16" spans="1:43">
      <c r="A16" s="43">
        <v>13</v>
      </c>
      <c r="B16" s="21">
        <v>6</v>
      </c>
      <c r="C16" s="21">
        <v>6</v>
      </c>
      <c r="D16" s="21">
        <v>3</v>
      </c>
      <c r="E16" s="21">
        <v>3.2</v>
      </c>
      <c r="F16" s="21" t="s">
        <v>67</v>
      </c>
      <c r="G16" s="23">
        <v>9</v>
      </c>
      <c r="H16" s="23" t="s">
        <v>58</v>
      </c>
      <c r="I16" s="23"/>
      <c r="J16" s="43" t="s">
        <v>108</v>
      </c>
      <c r="K16" s="21">
        <v>3.7</v>
      </c>
      <c r="L16" s="21"/>
      <c r="M16" s="21"/>
      <c r="N16">
        <v>3.6</v>
      </c>
      <c r="R16">
        <v>3.4</v>
      </c>
      <c r="S16" s="21" t="s">
        <v>56</v>
      </c>
      <c r="T16" s="33">
        <v>3.6</v>
      </c>
      <c r="U16" s="15" t="s">
        <v>56</v>
      </c>
      <c r="V16" s="34">
        <v>2.5</v>
      </c>
      <c r="W16" s="15" t="s">
        <v>56</v>
      </c>
      <c r="X16" s="35">
        <v>2.7</v>
      </c>
      <c r="Y16" s="15" t="s">
        <v>56</v>
      </c>
      <c r="Z16" s="35">
        <v>3.1</v>
      </c>
      <c r="AA16" s="15" t="s">
        <v>56</v>
      </c>
      <c r="AB16" s="36">
        <v>3.1</v>
      </c>
      <c r="AC16" s="15" t="s">
        <v>56</v>
      </c>
      <c r="AD16" s="36">
        <v>2.4</v>
      </c>
      <c r="AE16" s="15" t="s">
        <v>56</v>
      </c>
      <c r="AF16" s="36">
        <v>3.16</v>
      </c>
      <c r="AG16" s="15" t="s">
        <v>56</v>
      </c>
      <c r="AH16" s="34">
        <v>3.66</v>
      </c>
      <c r="AI16" s="15" t="s">
        <v>56</v>
      </c>
      <c r="AJ16" s="37">
        <v>3.3</v>
      </c>
      <c r="AK16" s="15" t="s">
        <v>56</v>
      </c>
      <c r="AL16" s="34">
        <v>3.34</v>
      </c>
      <c r="AM16" s="15" t="s">
        <v>56</v>
      </c>
      <c r="AN16" s="37">
        <v>3.33</v>
      </c>
      <c r="AO16" s="15" t="s">
        <v>56</v>
      </c>
      <c r="AP16" s="37">
        <v>3.4</v>
      </c>
      <c r="AQ16" s="15" t="s">
        <v>56</v>
      </c>
    </row>
    <row r="17" spans="1:43">
      <c r="A17" s="21">
        <v>14</v>
      </c>
      <c r="B17" s="21">
        <v>8</v>
      </c>
      <c r="C17" s="21">
        <v>7</v>
      </c>
      <c r="D17" s="21">
        <v>7.8</v>
      </c>
      <c r="E17" s="21">
        <v>8.9</v>
      </c>
      <c r="F17" s="21" t="s">
        <v>67</v>
      </c>
      <c r="G17">
        <v>7.6</v>
      </c>
      <c r="H17" t="s">
        <v>56</v>
      </c>
      <c r="I17" s="21"/>
      <c r="K17" s="23">
        <v>10.3</v>
      </c>
      <c r="L17" s="39" t="s">
        <v>104</v>
      </c>
      <c r="M17" s="39">
        <v>2.1</v>
      </c>
      <c r="N17">
        <v>3.4</v>
      </c>
      <c r="R17">
        <v>3.1</v>
      </c>
      <c r="S17" s="21" t="s">
        <v>56</v>
      </c>
      <c r="T17" s="33">
        <v>3.1</v>
      </c>
      <c r="U17" s="15" t="s">
        <v>56</v>
      </c>
      <c r="V17" s="34">
        <v>2.9</v>
      </c>
      <c r="W17" s="15" t="s">
        <v>56</v>
      </c>
      <c r="X17" s="35">
        <v>3.1</v>
      </c>
      <c r="Y17" s="15" t="s">
        <v>56</v>
      </c>
      <c r="Z17" s="35">
        <v>3</v>
      </c>
      <c r="AA17" s="15" t="s">
        <v>56</v>
      </c>
      <c r="AB17" s="36">
        <v>2.9</v>
      </c>
      <c r="AC17" s="15" t="s">
        <v>56</v>
      </c>
      <c r="AD17" s="36">
        <v>2.8</v>
      </c>
      <c r="AE17" s="15" t="s">
        <v>56</v>
      </c>
      <c r="AF17" s="36">
        <v>2.79</v>
      </c>
      <c r="AG17" s="15" t="s">
        <v>56</v>
      </c>
      <c r="AH17" s="34">
        <v>2.95</v>
      </c>
      <c r="AI17" s="15" t="s">
        <v>56</v>
      </c>
      <c r="AJ17" s="37">
        <v>3.15</v>
      </c>
      <c r="AK17" s="15" t="s">
        <v>56</v>
      </c>
      <c r="AL17" s="34">
        <v>3.28</v>
      </c>
      <c r="AM17" s="15" t="s">
        <v>56</v>
      </c>
      <c r="AN17" s="37">
        <v>3.15</v>
      </c>
      <c r="AO17" s="15" t="s">
        <v>56</v>
      </c>
      <c r="AP17" s="37">
        <v>3.7</v>
      </c>
      <c r="AQ17" s="15" t="s">
        <v>56</v>
      </c>
    </row>
    <row r="18" spans="1:43">
      <c r="A18" s="21">
        <v>15</v>
      </c>
      <c r="B18" s="21">
        <v>6.3</v>
      </c>
      <c r="C18" s="21">
        <v>7.2</v>
      </c>
      <c r="D18" s="21">
        <v>6.7</v>
      </c>
      <c r="E18" s="21">
        <v>8.3000000000000007</v>
      </c>
      <c r="F18" s="21" t="s">
        <v>67</v>
      </c>
      <c r="G18">
        <v>7.4</v>
      </c>
      <c r="H18" s="21" t="s">
        <v>56</v>
      </c>
      <c r="I18" s="21"/>
      <c r="K18" s="23">
        <v>9.1</v>
      </c>
      <c r="L18" s="39" t="s">
        <v>104</v>
      </c>
      <c r="M18" s="39">
        <v>2.2999999999999998</v>
      </c>
      <c r="N18">
        <v>3.4</v>
      </c>
      <c r="R18">
        <v>2.7</v>
      </c>
      <c r="S18" s="21" t="s">
        <v>56</v>
      </c>
      <c r="T18" s="33">
        <v>3.5</v>
      </c>
      <c r="U18" s="15" t="s">
        <v>56</v>
      </c>
      <c r="V18" s="34">
        <v>3.1</v>
      </c>
      <c r="W18" s="15" t="s">
        <v>56</v>
      </c>
      <c r="X18" s="35">
        <v>2.8</v>
      </c>
      <c r="Y18" s="15" t="s">
        <v>56</v>
      </c>
      <c r="Z18" s="35">
        <v>3</v>
      </c>
      <c r="AA18" s="15" t="s">
        <v>56</v>
      </c>
      <c r="AB18" s="36">
        <v>3.4</v>
      </c>
      <c r="AC18" s="15" t="s">
        <v>56</v>
      </c>
      <c r="AD18" s="36">
        <v>3.2</v>
      </c>
      <c r="AE18" s="15" t="s">
        <v>56</v>
      </c>
      <c r="AF18" s="36">
        <v>2.84</v>
      </c>
      <c r="AG18" s="15" t="s">
        <v>56</v>
      </c>
      <c r="AH18" s="34">
        <v>3.35</v>
      </c>
      <c r="AI18" s="15" t="s">
        <v>56</v>
      </c>
      <c r="AJ18" s="37">
        <v>3.27</v>
      </c>
      <c r="AK18" s="15" t="s">
        <v>56</v>
      </c>
      <c r="AL18" s="34">
        <v>3.28</v>
      </c>
      <c r="AM18" s="15" t="s">
        <v>56</v>
      </c>
      <c r="AN18" s="37">
        <v>3.38</v>
      </c>
      <c r="AO18" s="15" t="s">
        <v>56</v>
      </c>
      <c r="AP18" s="37">
        <v>2.8</v>
      </c>
      <c r="AQ18" s="15" t="s">
        <v>56</v>
      </c>
    </row>
    <row r="19" spans="1:43">
      <c r="A19" s="21">
        <v>16</v>
      </c>
      <c r="B19" s="21">
        <v>6.3</v>
      </c>
      <c r="C19" s="21">
        <v>8.4</v>
      </c>
      <c r="D19" s="21">
        <v>3.3</v>
      </c>
      <c r="E19" s="21">
        <v>3.2</v>
      </c>
      <c r="F19" s="21" t="s">
        <v>67</v>
      </c>
      <c r="G19" s="40">
        <v>10.5</v>
      </c>
      <c r="H19" s="23" t="s">
        <v>58</v>
      </c>
      <c r="I19" s="23">
        <v>2.7</v>
      </c>
      <c r="J19" s="39" t="s">
        <v>105</v>
      </c>
      <c r="K19" s="21">
        <v>7.4</v>
      </c>
      <c r="L19" s="21"/>
      <c r="M19" s="21"/>
      <c r="N19">
        <v>7.3</v>
      </c>
      <c r="R19">
        <v>3.3</v>
      </c>
      <c r="S19" s="21" t="s">
        <v>56</v>
      </c>
      <c r="T19" s="33">
        <v>3.1</v>
      </c>
      <c r="U19" s="15" t="s">
        <v>56</v>
      </c>
      <c r="V19" s="34">
        <v>3.1</v>
      </c>
      <c r="W19" s="15" t="s">
        <v>56</v>
      </c>
      <c r="X19" s="35">
        <v>2.2999999999999998</v>
      </c>
      <c r="Y19" s="15" t="s">
        <v>56</v>
      </c>
      <c r="Z19" s="35">
        <v>2.6</v>
      </c>
      <c r="AA19" s="15" t="s">
        <v>56</v>
      </c>
      <c r="AB19" s="36">
        <v>3.2</v>
      </c>
      <c r="AC19" s="15" t="s">
        <v>56</v>
      </c>
      <c r="AD19" s="36">
        <v>3.1</v>
      </c>
      <c r="AE19" s="15" t="s">
        <v>56</v>
      </c>
      <c r="AF19" s="36">
        <v>3.68</v>
      </c>
      <c r="AG19" s="15" t="s">
        <v>56</v>
      </c>
      <c r="AH19" s="34">
        <v>3.37</v>
      </c>
      <c r="AI19" s="15" t="s">
        <v>56</v>
      </c>
      <c r="AJ19" s="37">
        <v>3.44</v>
      </c>
      <c r="AK19" s="15" t="s">
        <v>56</v>
      </c>
      <c r="AL19" s="34">
        <v>3.39</v>
      </c>
      <c r="AM19" s="15" t="s">
        <v>56</v>
      </c>
      <c r="AN19" s="37">
        <v>3.44</v>
      </c>
      <c r="AO19" s="15" t="s">
        <v>56</v>
      </c>
      <c r="AP19" s="37">
        <v>3.6</v>
      </c>
      <c r="AQ19" s="15" t="s">
        <v>56</v>
      </c>
    </row>
    <row r="20" spans="1:43">
      <c r="A20" s="43">
        <v>17</v>
      </c>
      <c r="B20" s="21">
        <v>6.8</v>
      </c>
      <c r="C20" s="21">
        <v>4</v>
      </c>
      <c r="D20" s="21">
        <v>7.4</v>
      </c>
      <c r="E20" s="21">
        <v>8</v>
      </c>
      <c r="F20" s="21" t="s">
        <v>67</v>
      </c>
      <c r="G20" s="23">
        <v>9.4</v>
      </c>
      <c r="H20" s="23" t="s">
        <v>58</v>
      </c>
      <c r="I20" s="23"/>
      <c r="J20" s="43" t="s">
        <v>108</v>
      </c>
      <c r="K20" s="21">
        <v>8.1</v>
      </c>
      <c r="L20" s="21"/>
      <c r="M20" s="21"/>
      <c r="N20">
        <v>8.1999999999999993</v>
      </c>
      <c r="R20">
        <v>2.8</v>
      </c>
      <c r="S20" s="21" t="s">
        <v>56</v>
      </c>
      <c r="T20" s="33">
        <v>3.1</v>
      </c>
      <c r="U20" s="15" t="s">
        <v>56</v>
      </c>
      <c r="V20" s="34">
        <v>3.1</v>
      </c>
      <c r="W20" s="15" t="s">
        <v>56</v>
      </c>
      <c r="X20" s="35">
        <v>3.2</v>
      </c>
      <c r="Y20" s="15" t="s">
        <v>56</v>
      </c>
      <c r="Z20" s="35">
        <v>3.2</v>
      </c>
      <c r="AA20" s="15" t="s">
        <v>56</v>
      </c>
      <c r="AB20" s="36">
        <v>3.3</v>
      </c>
      <c r="AC20" s="15" t="s">
        <v>56</v>
      </c>
      <c r="AD20" s="36">
        <v>3</v>
      </c>
      <c r="AE20" s="15" t="s">
        <v>56</v>
      </c>
      <c r="AF20" s="36">
        <v>3.57</v>
      </c>
      <c r="AG20" s="15" t="s">
        <v>56</v>
      </c>
      <c r="AH20" s="34">
        <v>3.19</v>
      </c>
      <c r="AI20" s="15" t="s">
        <v>56</v>
      </c>
      <c r="AJ20" s="37">
        <v>3.15</v>
      </c>
      <c r="AK20" s="15" t="s">
        <v>56</v>
      </c>
      <c r="AL20" s="34">
        <v>3.35</v>
      </c>
      <c r="AM20" s="15" t="s">
        <v>56</v>
      </c>
      <c r="AN20" s="37">
        <v>3.39</v>
      </c>
      <c r="AO20" s="15" t="s">
        <v>56</v>
      </c>
      <c r="AP20" s="37">
        <v>3.3</v>
      </c>
      <c r="AQ20" s="15" t="s">
        <v>56</v>
      </c>
    </row>
    <row r="21" spans="1:43">
      <c r="A21" s="21">
        <v>18</v>
      </c>
      <c r="B21" s="21">
        <v>3.7</v>
      </c>
      <c r="C21" s="38">
        <v>10.9</v>
      </c>
      <c r="D21" s="38">
        <v>9.1999999999999993</v>
      </c>
      <c r="E21" s="21">
        <v>8.5</v>
      </c>
      <c r="F21" s="21" t="s">
        <v>67</v>
      </c>
      <c r="G21">
        <v>3.4</v>
      </c>
      <c r="H21" t="s">
        <v>56</v>
      </c>
      <c r="I21" s="21"/>
      <c r="K21" s="21">
        <v>9</v>
      </c>
      <c r="L21" s="21"/>
      <c r="M21" s="21"/>
      <c r="N21">
        <v>3.1</v>
      </c>
      <c r="R21">
        <v>3</v>
      </c>
      <c r="S21" s="21" t="s">
        <v>56</v>
      </c>
      <c r="T21" s="33">
        <v>2.8</v>
      </c>
      <c r="U21" s="15" t="s">
        <v>56</v>
      </c>
      <c r="V21" s="34">
        <v>3.6</v>
      </c>
      <c r="W21" s="15" t="s">
        <v>56</v>
      </c>
      <c r="X21" s="35">
        <v>2.9</v>
      </c>
      <c r="Y21" s="15" t="s">
        <v>56</v>
      </c>
      <c r="Z21" s="35">
        <v>3.3</v>
      </c>
      <c r="AA21" s="15" t="s">
        <v>56</v>
      </c>
      <c r="AB21" s="36">
        <v>3.2</v>
      </c>
      <c r="AC21" s="15" t="s">
        <v>56</v>
      </c>
      <c r="AD21" s="36">
        <v>3.3</v>
      </c>
      <c r="AE21" s="15" t="s">
        <v>56</v>
      </c>
      <c r="AF21" s="36">
        <v>3.56</v>
      </c>
      <c r="AG21" s="15" t="s">
        <v>56</v>
      </c>
      <c r="AH21" s="34">
        <v>2.86</v>
      </c>
      <c r="AI21" s="15" t="s">
        <v>56</v>
      </c>
      <c r="AJ21" s="37">
        <v>3.14</v>
      </c>
      <c r="AK21" s="15" t="s">
        <v>56</v>
      </c>
      <c r="AL21" s="34">
        <v>3.34</v>
      </c>
      <c r="AM21" s="15" t="s">
        <v>56</v>
      </c>
      <c r="AN21" s="37">
        <v>3.3</v>
      </c>
      <c r="AO21" s="15" t="s">
        <v>56</v>
      </c>
      <c r="AP21" s="37">
        <v>3.9</v>
      </c>
      <c r="AQ21" s="15" t="s">
        <v>56</v>
      </c>
    </row>
    <row r="22" spans="1:43">
      <c r="A22" s="21">
        <v>19</v>
      </c>
      <c r="B22" s="21">
        <v>6.1</v>
      </c>
      <c r="C22" s="21">
        <v>6.8</v>
      </c>
      <c r="D22" s="21">
        <v>8.6999999999999993</v>
      </c>
      <c r="E22" s="21">
        <v>8</v>
      </c>
      <c r="F22" s="21" t="s">
        <v>67</v>
      </c>
      <c r="G22">
        <v>2.9</v>
      </c>
      <c r="H22" s="21" t="s">
        <v>56</v>
      </c>
      <c r="I22" s="21"/>
      <c r="K22" s="23">
        <v>9999</v>
      </c>
      <c r="L22" s="21"/>
      <c r="M22" s="21"/>
      <c r="N22">
        <v>3.2</v>
      </c>
      <c r="R22">
        <v>3.3</v>
      </c>
      <c r="S22" s="21" t="s">
        <v>56</v>
      </c>
      <c r="T22" s="33">
        <v>3.4</v>
      </c>
      <c r="U22" s="15" t="s">
        <v>56</v>
      </c>
      <c r="V22" s="34">
        <v>2.9</v>
      </c>
      <c r="W22" s="15" t="s">
        <v>56</v>
      </c>
      <c r="X22" s="35">
        <v>3.7</v>
      </c>
      <c r="Y22" s="15" t="s">
        <v>56</v>
      </c>
      <c r="Z22" s="35">
        <v>2.9</v>
      </c>
      <c r="AA22" s="15" t="s">
        <v>56</v>
      </c>
      <c r="AB22" s="36">
        <v>3</v>
      </c>
      <c r="AC22" s="15" t="s">
        <v>56</v>
      </c>
      <c r="AD22" s="36">
        <v>2.7</v>
      </c>
      <c r="AE22" s="15" t="s">
        <v>56</v>
      </c>
      <c r="AF22" s="36">
        <v>3.34</v>
      </c>
      <c r="AG22" s="15" t="s">
        <v>56</v>
      </c>
      <c r="AH22" s="34">
        <v>3.16</v>
      </c>
      <c r="AI22" s="15" t="s">
        <v>56</v>
      </c>
      <c r="AJ22" s="37">
        <v>3.12</v>
      </c>
      <c r="AK22" s="15" t="s">
        <v>56</v>
      </c>
      <c r="AL22" s="34">
        <v>3.23</v>
      </c>
      <c r="AM22" s="15" t="s">
        <v>56</v>
      </c>
      <c r="AN22" s="37">
        <v>3.29</v>
      </c>
      <c r="AO22" s="15" t="s">
        <v>56</v>
      </c>
      <c r="AP22" s="37">
        <v>3.7</v>
      </c>
      <c r="AQ22" s="15" t="s">
        <v>56</v>
      </c>
    </row>
    <row r="23" spans="1:43" ht="15.75" customHeight="1">
      <c r="A23" s="21">
        <v>20</v>
      </c>
      <c r="B23" s="21">
        <v>6.5</v>
      </c>
      <c r="C23" s="38">
        <v>9.3000000000000007</v>
      </c>
      <c r="D23" s="32">
        <v>3.1</v>
      </c>
      <c r="E23" s="21">
        <v>3.2</v>
      </c>
      <c r="F23" s="21" t="s">
        <v>67</v>
      </c>
      <c r="G23">
        <v>3.2</v>
      </c>
      <c r="H23" s="21" t="s">
        <v>56</v>
      </c>
      <c r="I23" s="21"/>
      <c r="K23" s="23">
        <v>9999</v>
      </c>
      <c r="L23" s="21"/>
      <c r="M23" s="21"/>
      <c r="N23">
        <v>3</v>
      </c>
      <c r="R23">
        <v>3.3</v>
      </c>
      <c r="S23" s="21" t="s">
        <v>56</v>
      </c>
      <c r="T23" s="33">
        <v>3.3</v>
      </c>
      <c r="U23" s="15" t="s">
        <v>56</v>
      </c>
      <c r="V23" s="34">
        <v>3.1</v>
      </c>
      <c r="W23" s="15" t="s">
        <v>56</v>
      </c>
      <c r="X23" s="35">
        <v>3.2</v>
      </c>
      <c r="Y23" s="15" t="s">
        <v>56</v>
      </c>
      <c r="Z23" s="35">
        <v>2.8</v>
      </c>
      <c r="AA23" s="15" t="s">
        <v>56</v>
      </c>
      <c r="AB23" s="36">
        <v>2.9</v>
      </c>
      <c r="AC23" s="15" t="s">
        <v>56</v>
      </c>
      <c r="AD23" s="36">
        <v>3.3</v>
      </c>
      <c r="AE23" s="15" t="s">
        <v>56</v>
      </c>
      <c r="AF23" s="36">
        <v>3.07</v>
      </c>
      <c r="AG23" s="15" t="s">
        <v>56</v>
      </c>
      <c r="AH23" s="34">
        <v>2.7</v>
      </c>
      <c r="AI23" s="15" t="s">
        <v>56</v>
      </c>
      <c r="AJ23" s="37">
        <v>3.16</v>
      </c>
      <c r="AK23" s="15" t="s">
        <v>56</v>
      </c>
      <c r="AL23" s="34">
        <v>3.19</v>
      </c>
      <c r="AM23" s="15" t="s">
        <v>56</v>
      </c>
      <c r="AN23" s="37">
        <v>3.37</v>
      </c>
      <c r="AO23" s="15" t="s">
        <v>56</v>
      </c>
      <c r="AP23" s="37">
        <v>3.9</v>
      </c>
      <c r="AQ23" s="15" t="s">
        <v>56</v>
      </c>
    </row>
    <row r="24" spans="1:43" ht="15.75" customHeight="1">
      <c r="A24" s="21">
        <v>21</v>
      </c>
      <c r="B24" s="21">
        <v>7.7</v>
      </c>
      <c r="C24" s="21">
        <v>7.3</v>
      </c>
      <c r="D24" s="21">
        <v>7.1</v>
      </c>
      <c r="E24" s="21">
        <v>3.3</v>
      </c>
      <c r="F24" s="21" t="s">
        <v>67</v>
      </c>
      <c r="G24">
        <v>2.7</v>
      </c>
      <c r="H24" s="21" t="s">
        <v>56</v>
      </c>
      <c r="I24" s="21"/>
      <c r="K24" s="21">
        <v>13.6</v>
      </c>
      <c r="L24" s="21"/>
      <c r="M24" s="21"/>
      <c r="N24">
        <v>3.1</v>
      </c>
      <c r="R24">
        <v>3.8</v>
      </c>
      <c r="S24" s="21" t="s">
        <v>56</v>
      </c>
      <c r="T24" s="33">
        <v>2.9</v>
      </c>
      <c r="U24" s="15" t="s">
        <v>56</v>
      </c>
      <c r="V24" s="34">
        <v>3.4</v>
      </c>
      <c r="W24" s="15" t="s">
        <v>56</v>
      </c>
      <c r="X24" s="35">
        <v>4</v>
      </c>
      <c r="Y24" s="15" t="s">
        <v>56</v>
      </c>
      <c r="Z24" s="35">
        <v>3.7</v>
      </c>
      <c r="AA24" s="15" t="s">
        <v>56</v>
      </c>
      <c r="AB24" s="36">
        <v>3.3</v>
      </c>
      <c r="AC24" s="15" t="s">
        <v>56</v>
      </c>
      <c r="AD24" s="36">
        <v>3.2</v>
      </c>
      <c r="AE24" s="15" t="s">
        <v>56</v>
      </c>
      <c r="AF24" s="36">
        <v>2.96</v>
      </c>
      <c r="AG24" s="15" t="s">
        <v>56</v>
      </c>
      <c r="AH24" s="34">
        <v>2.97</v>
      </c>
      <c r="AI24" s="15" t="s">
        <v>56</v>
      </c>
      <c r="AJ24" s="37">
        <v>3.48</v>
      </c>
      <c r="AK24" s="15" t="s">
        <v>56</v>
      </c>
      <c r="AL24" s="34">
        <v>3.39</v>
      </c>
      <c r="AM24" s="15" t="s">
        <v>56</v>
      </c>
      <c r="AN24" s="37">
        <v>3.49</v>
      </c>
      <c r="AO24" s="15" t="s">
        <v>56</v>
      </c>
      <c r="AP24" s="37">
        <v>3.4</v>
      </c>
      <c r="AQ24" s="15" t="s">
        <v>56</v>
      </c>
    </row>
    <row r="25" spans="1:43" ht="15.75" customHeight="1">
      <c r="A25" s="21">
        <v>22</v>
      </c>
      <c r="B25" s="21">
        <v>6.1</v>
      </c>
      <c r="C25" s="21">
        <v>7.7</v>
      </c>
      <c r="D25" s="21">
        <v>6.7</v>
      </c>
      <c r="E25" s="42">
        <v>9.6</v>
      </c>
      <c r="F25" s="42" t="s">
        <v>71</v>
      </c>
      <c r="G25" s="40">
        <v>9.6</v>
      </c>
      <c r="H25" s="23" t="s">
        <v>58</v>
      </c>
      <c r="I25" s="23">
        <v>2.6</v>
      </c>
      <c r="J25" s="39" t="s">
        <v>105</v>
      </c>
      <c r="K25" s="21">
        <v>18.2</v>
      </c>
      <c r="L25" s="21"/>
      <c r="M25" s="21"/>
      <c r="N25">
        <v>8.4</v>
      </c>
      <c r="R25">
        <v>3.3</v>
      </c>
      <c r="S25" s="21" t="s">
        <v>56</v>
      </c>
      <c r="T25" s="33">
        <v>3.1</v>
      </c>
      <c r="U25" s="15" t="s">
        <v>56</v>
      </c>
      <c r="V25" s="34">
        <v>2.6</v>
      </c>
      <c r="W25" s="15" t="s">
        <v>56</v>
      </c>
      <c r="X25" s="35">
        <v>2.8</v>
      </c>
      <c r="Y25" s="15" t="s">
        <v>56</v>
      </c>
      <c r="Z25" s="35">
        <v>3</v>
      </c>
      <c r="AA25" s="15" t="s">
        <v>56</v>
      </c>
      <c r="AB25" s="36">
        <v>3.1</v>
      </c>
      <c r="AC25" s="15" t="s">
        <v>56</v>
      </c>
      <c r="AD25" s="36">
        <v>2.4</v>
      </c>
      <c r="AE25" s="15" t="s">
        <v>56</v>
      </c>
      <c r="AF25" s="36">
        <v>3.43</v>
      </c>
      <c r="AG25" s="15" t="s">
        <v>56</v>
      </c>
      <c r="AH25" s="34">
        <v>3.42</v>
      </c>
      <c r="AI25" s="15" t="s">
        <v>56</v>
      </c>
      <c r="AJ25" s="37">
        <v>3.14</v>
      </c>
      <c r="AK25" s="15" t="s">
        <v>56</v>
      </c>
      <c r="AL25" s="34">
        <v>3.26</v>
      </c>
      <c r="AM25" s="15" t="s">
        <v>56</v>
      </c>
      <c r="AN25" s="37">
        <v>3.34</v>
      </c>
      <c r="AO25" s="15" t="s">
        <v>56</v>
      </c>
      <c r="AP25" s="37">
        <v>2.8</v>
      </c>
      <c r="AQ25" s="15" t="s">
        <v>56</v>
      </c>
    </row>
    <row r="26" spans="1:43" ht="15.75" customHeight="1">
      <c r="A26" s="21">
        <v>23</v>
      </c>
      <c r="B26" s="21">
        <v>6.4</v>
      </c>
      <c r="C26" s="21">
        <v>2.6</v>
      </c>
      <c r="D26" s="21">
        <v>9.6</v>
      </c>
      <c r="E26" s="21">
        <v>8.5</v>
      </c>
      <c r="F26" s="21" t="s">
        <v>67</v>
      </c>
      <c r="G26">
        <v>7.5</v>
      </c>
      <c r="H26" t="s">
        <v>56</v>
      </c>
      <c r="I26" s="21"/>
      <c r="K26" s="21">
        <v>19.8</v>
      </c>
      <c r="L26" s="21"/>
      <c r="M26" s="21"/>
      <c r="N26">
        <v>3.4</v>
      </c>
      <c r="R26">
        <v>2.9</v>
      </c>
      <c r="S26" s="21" t="s">
        <v>56</v>
      </c>
      <c r="T26" s="33">
        <v>3.1</v>
      </c>
      <c r="U26" s="15" t="s">
        <v>56</v>
      </c>
      <c r="V26" s="34">
        <v>2.4</v>
      </c>
      <c r="W26" s="15" t="s">
        <v>56</v>
      </c>
      <c r="X26" s="35">
        <v>3</v>
      </c>
      <c r="Y26" s="15" t="s">
        <v>56</v>
      </c>
      <c r="Z26" s="35">
        <v>3</v>
      </c>
      <c r="AA26" s="15" t="s">
        <v>56</v>
      </c>
      <c r="AB26" s="36">
        <v>3.4</v>
      </c>
      <c r="AC26" s="15" t="s">
        <v>56</v>
      </c>
      <c r="AD26" s="36">
        <v>2.8</v>
      </c>
      <c r="AE26" s="15" t="s">
        <v>56</v>
      </c>
      <c r="AF26" s="36">
        <v>3.39</v>
      </c>
      <c r="AG26" s="15" t="s">
        <v>56</v>
      </c>
      <c r="AH26" s="34">
        <v>3.42</v>
      </c>
      <c r="AI26" s="15" t="s">
        <v>56</v>
      </c>
      <c r="AJ26" s="37">
        <v>3.21</v>
      </c>
      <c r="AK26" s="15" t="s">
        <v>56</v>
      </c>
      <c r="AL26" s="34">
        <v>3.36</v>
      </c>
      <c r="AM26" s="15" t="s">
        <v>56</v>
      </c>
      <c r="AN26" s="37">
        <v>3.44</v>
      </c>
      <c r="AO26" s="15" t="s">
        <v>56</v>
      </c>
      <c r="AP26" s="37">
        <v>3.4</v>
      </c>
      <c r="AQ26" s="15" t="s">
        <v>56</v>
      </c>
    </row>
    <row r="27" spans="1:43" ht="15.75" customHeight="1">
      <c r="A27" s="21">
        <v>24</v>
      </c>
      <c r="B27" s="21">
        <v>2.8</v>
      </c>
      <c r="C27" s="21">
        <v>5.8</v>
      </c>
      <c r="D27" s="21">
        <v>3.1</v>
      </c>
      <c r="E27" s="21">
        <v>6.3</v>
      </c>
      <c r="F27" s="21" t="s">
        <v>67</v>
      </c>
      <c r="G27">
        <v>8.1999999999999993</v>
      </c>
      <c r="H27" t="s">
        <v>56</v>
      </c>
      <c r="I27" s="21"/>
      <c r="K27" s="21">
        <v>2.6</v>
      </c>
      <c r="L27" s="21"/>
      <c r="M27" s="21"/>
      <c r="N27">
        <v>8.9</v>
      </c>
      <c r="R27">
        <v>3.5</v>
      </c>
      <c r="S27" s="21" t="s">
        <v>56</v>
      </c>
      <c r="T27" s="33">
        <v>3.4</v>
      </c>
      <c r="U27" s="15" t="s">
        <v>56</v>
      </c>
      <c r="V27" s="34">
        <v>2.9</v>
      </c>
      <c r="W27" s="15" t="s">
        <v>56</v>
      </c>
      <c r="X27" s="35">
        <v>3.1</v>
      </c>
      <c r="Y27" s="15" t="s">
        <v>56</v>
      </c>
      <c r="Z27" s="35">
        <v>3.4</v>
      </c>
      <c r="AA27" s="15" t="s">
        <v>56</v>
      </c>
      <c r="AB27" s="36">
        <v>3.5</v>
      </c>
      <c r="AC27" s="15" t="s">
        <v>56</v>
      </c>
      <c r="AD27" s="36">
        <v>2.8</v>
      </c>
      <c r="AE27" s="15" t="s">
        <v>56</v>
      </c>
      <c r="AF27" s="36">
        <v>3.5</v>
      </c>
      <c r="AG27" s="15" t="s">
        <v>56</v>
      </c>
      <c r="AH27" s="34">
        <v>4</v>
      </c>
      <c r="AI27" s="15" t="s">
        <v>56</v>
      </c>
      <c r="AJ27" s="37">
        <v>3.44</v>
      </c>
      <c r="AK27" s="15" t="s">
        <v>56</v>
      </c>
      <c r="AL27" s="34">
        <v>3.55</v>
      </c>
      <c r="AM27" s="15" t="s">
        <v>56</v>
      </c>
      <c r="AN27" s="37">
        <v>3.68</v>
      </c>
      <c r="AO27" s="15" t="s">
        <v>56</v>
      </c>
      <c r="AP27" s="37">
        <v>3.1</v>
      </c>
      <c r="AQ27" s="15" t="s">
        <v>56</v>
      </c>
    </row>
    <row r="28" spans="1:43" ht="15.75" customHeight="1">
      <c r="A28" s="21">
        <v>25</v>
      </c>
      <c r="B28" s="21">
        <v>5.2</v>
      </c>
      <c r="C28" s="21">
        <v>6.4</v>
      </c>
      <c r="D28" s="21">
        <v>2.9</v>
      </c>
      <c r="E28" s="21">
        <v>7.6</v>
      </c>
      <c r="F28" s="21" t="s">
        <v>67</v>
      </c>
      <c r="G28" s="40">
        <v>11.5</v>
      </c>
      <c r="H28" s="23" t="s">
        <v>58</v>
      </c>
      <c r="I28" s="23">
        <v>2.6</v>
      </c>
      <c r="J28" s="39" t="s">
        <v>105</v>
      </c>
      <c r="K28" s="21">
        <v>2.5</v>
      </c>
      <c r="L28" s="21"/>
      <c r="M28" s="21"/>
      <c r="N28" s="23">
        <v>10.7</v>
      </c>
      <c r="O28" s="23" t="s">
        <v>107</v>
      </c>
      <c r="R28">
        <v>3</v>
      </c>
      <c r="S28" s="21" t="s">
        <v>56</v>
      </c>
      <c r="T28" s="33">
        <v>3</v>
      </c>
      <c r="U28" s="15" t="s">
        <v>56</v>
      </c>
      <c r="V28" s="34">
        <v>2.1</v>
      </c>
      <c r="W28" s="15" t="s">
        <v>56</v>
      </c>
      <c r="X28" s="35">
        <v>2.9</v>
      </c>
      <c r="Y28" s="15" t="s">
        <v>56</v>
      </c>
      <c r="Z28" s="35">
        <v>3</v>
      </c>
      <c r="AA28" s="15" t="s">
        <v>56</v>
      </c>
      <c r="AB28" s="36">
        <v>3.4</v>
      </c>
      <c r="AC28" s="15" t="s">
        <v>56</v>
      </c>
      <c r="AD28" s="36">
        <v>2.4</v>
      </c>
      <c r="AE28" s="15" t="s">
        <v>56</v>
      </c>
      <c r="AF28" s="36">
        <v>3.18</v>
      </c>
      <c r="AG28" s="15" t="s">
        <v>56</v>
      </c>
      <c r="AH28" s="34">
        <v>3.21</v>
      </c>
      <c r="AI28" s="15" t="s">
        <v>56</v>
      </c>
      <c r="AJ28" s="37">
        <v>3.5</v>
      </c>
      <c r="AK28" s="15" t="s">
        <v>56</v>
      </c>
      <c r="AL28" s="34">
        <v>3.46</v>
      </c>
      <c r="AM28" s="15" t="s">
        <v>56</v>
      </c>
      <c r="AN28" s="37">
        <v>3.55</v>
      </c>
      <c r="AO28" s="15" t="s">
        <v>56</v>
      </c>
      <c r="AP28" s="37">
        <v>2.9</v>
      </c>
      <c r="AQ28" s="15" t="s">
        <v>56</v>
      </c>
    </row>
    <row r="29" spans="1:43" ht="15.75" customHeight="1">
      <c r="A29" s="43">
        <v>26</v>
      </c>
      <c r="B29" s="21">
        <v>5.5</v>
      </c>
      <c r="C29" s="21">
        <v>7.9</v>
      </c>
      <c r="D29" s="21">
        <v>8.6</v>
      </c>
      <c r="E29" s="21">
        <v>7</v>
      </c>
      <c r="F29" s="21" t="s">
        <v>67</v>
      </c>
      <c r="G29" s="23">
        <v>9.3000000000000007</v>
      </c>
      <c r="H29" s="23" t="s">
        <v>58</v>
      </c>
      <c r="I29" s="23"/>
      <c r="J29" s="43" t="s">
        <v>108</v>
      </c>
      <c r="K29" s="44"/>
      <c r="L29" s="21" t="s">
        <v>109</v>
      </c>
      <c r="M29" s="21"/>
      <c r="N29" s="23">
        <v>10</v>
      </c>
      <c r="O29" s="23" t="s">
        <v>107</v>
      </c>
      <c r="R29">
        <v>2.9</v>
      </c>
      <c r="S29" s="21" t="s">
        <v>56</v>
      </c>
      <c r="T29" s="33">
        <v>3.2</v>
      </c>
      <c r="U29" s="15" t="s">
        <v>56</v>
      </c>
      <c r="V29" s="34">
        <v>3.3</v>
      </c>
      <c r="W29" s="15" t="s">
        <v>56</v>
      </c>
      <c r="X29" s="35">
        <v>3.6</v>
      </c>
      <c r="Y29" s="15" t="s">
        <v>56</v>
      </c>
      <c r="Z29" s="35">
        <v>2.9</v>
      </c>
      <c r="AA29" s="15" t="s">
        <v>56</v>
      </c>
      <c r="AB29" s="36">
        <v>3.3</v>
      </c>
      <c r="AC29" s="15" t="s">
        <v>56</v>
      </c>
      <c r="AD29" s="36">
        <v>2.5</v>
      </c>
      <c r="AE29" s="15" t="s">
        <v>56</v>
      </c>
      <c r="AF29" s="36">
        <v>3.36</v>
      </c>
      <c r="AG29" s="15" t="s">
        <v>56</v>
      </c>
      <c r="AH29" s="34">
        <v>3.05</v>
      </c>
      <c r="AI29" s="15" t="s">
        <v>56</v>
      </c>
      <c r="AJ29" s="37">
        <v>3.18</v>
      </c>
      <c r="AK29" s="15" t="s">
        <v>56</v>
      </c>
      <c r="AL29" s="34">
        <v>3.39</v>
      </c>
      <c r="AM29" s="15" t="s">
        <v>56</v>
      </c>
      <c r="AN29" s="37">
        <v>3.46</v>
      </c>
      <c r="AO29" s="15" t="s">
        <v>56</v>
      </c>
      <c r="AP29" s="37">
        <v>4.0999999999999996</v>
      </c>
      <c r="AQ29" s="15" t="s">
        <v>56</v>
      </c>
    </row>
    <row r="30" spans="1:43" ht="15.75" customHeight="1">
      <c r="A30" s="21">
        <v>27</v>
      </c>
      <c r="B30" s="21">
        <v>6.7</v>
      </c>
      <c r="C30" s="21">
        <v>8.1</v>
      </c>
      <c r="D30" s="21">
        <v>8.3000000000000007</v>
      </c>
      <c r="E30" s="21">
        <v>7.7</v>
      </c>
      <c r="F30" s="21" t="s">
        <v>67</v>
      </c>
      <c r="G30">
        <v>7</v>
      </c>
      <c r="H30" t="s">
        <v>56</v>
      </c>
      <c r="I30" s="21"/>
      <c r="K30" s="44"/>
      <c r="L30" s="21" t="s">
        <v>109</v>
      </c>
      <c r="M30" s="21"/>
      <c r="N30">
        <v>8.4</v>
      </c>
      <c r="R30">
        <v>3</v>
      </c>
      <c r="S30" s="21" t="s">
        <v>56</v>
      </c>
      <c r="T30" s="33">
        <v>3.2</v>
      </c>
      <c r="U30" s="15" t="s">
        <v>56</v>
      </c>
      <c r="V30" s="34">
        <v>3.2</v>
      </c>
      <c r="W30" s="15" t="s">
        <v>56</v>
      </c>
      <c r="X30" s="35">
        <v>2.9</v>
      </c>
      <c r="Y30" s="15" t="s">
        <v>56</v>
      </c>
      <c r="Z30" s="35">
        <v>3</v>
      </c>
      <c r="AA30" s="15" t="s">
        <v>56</v>
      </c>
      <c r="AB30" s="36">
        <v>3.2</v>
      </c>
      <c r="AC30" s="15" t="s">
        <v>56</v>
      </c>
      <c r="AD30" s="36">
        <v>3.1</v>
      </c>
      <c r="AE30" s="15" t="s">
        <v>56</v>
      </c>
      <c r="AF30" s="36">
        <v>3.69</v>
      </c>
      <c r="AG30" s="15" t="s">
        <v>56</v>
      </c>
      <c r="AH30" s="34">
        <v>3.07</v>
      </c>
      <c r="AI30" s="15" t="s">
        <v>56</v>
      </c>
      <c r="AJ30" s="37">
        <v>3.22</v>
      </c>
      <c r="AK30" s="15" t="s">
        <v>56</v>
      </c>
      <c r="AL30" s="34">
        <v>3.33</v>
      </c>
      <c r="AM30" s="15" t="s">
        <v>56</v>
      </c>
      <c r="AN30" s="37">
        <v>3.46</v>
      </c>
      <c r="AO30" s="15" t="s">
        <v>56</v>
      </c>
      <c r="AP30" s="37">
        <v>3.4</v>
      </c>
      <c r="AQ30" s="15" t="s">
        <v>56</v>
      </c>
    </row>
    <row r="31" spans="1:43" ht="15.75" customHeight="1">
      <c r="A31" s="21">
        <v>28</v>
      </c>
      <c r="B31" s="21">
        <v>7</v>
      </c>
      <c r="C31" s="38">
        <v>10</v>
      </c>
      <c r="D31" s="32">
        <v>8.9</v>
      </c>
      <c r="E31" s="21">
        <v>2.5</v>
      </c>
      <c r="F31" s="21" t="s">
        <v>67</v>
      </c>
      <c r="G31">
        <v>5.8</v>
      </c>
      <c r="H31" s="21" t="s">
        <v>56</v>
      </c>
      <c r="I31" s="21"/>
      <c r="K31" s="44"/>
      <c r="L31" s="21" t="s">
        <v>109</v>
      </c>
      <c r="M31" s="21"/>
      <c r="N31">
        <v>3.8</v>
      </c>
      <c r="R31">
        <v>3.2</v>
      </c>
      <c r="S31" s="21" t="s">
        <v>56</v>
      </c>
      <c r="T31" s="33">
        <v>3.1</v>
      </c>
      <c r="U31" s="15" t="s">
        <v>56</v>
      </c>
      <c r="V31" s="34">
        <v>3.1</v>
      </c>
      <c r="W31" s="15" t="s">
        <v>56</v>
      </c>
      <c r="X31" s="35">
        <v>2.4</v>
      </c>
      <c r="Y31" s="15" t="s">
        <v>56</v>
      </c>
      <c r="Z31" s="35">
        <v>3.1</v>
      </c>
      <c r="AA31" s="15" t="s">
        <v>56</v>
      </c>
      <c r="AB31" s="36">
        <v>3.3</v>
      </c>
      <c r="AC31" s="15" t="s">
        <v>56</v>
      </c>
      <c r="AD31" s="36">
        <v>2.8</v>
      </c>
      <c r="AE31" s="15" t="s">
        <v>56</v>
      </c>
      <c r="AF31" s="36">
        <v>3.44</v>
      </c>
      <c r="AG31" s="15" t="s">
        <v>56</v>
      </c>
      <c r="AH31" s="34">
        <v>3</v>
      </c>
      <c r="AI31" s="15" t="s">
        <v>56</v>
      </c>
      <c r="AJ31" s="37">
        <v>3.42</v>
      </c>
      <c r="AK31" s="15" t="s">
        <v>56</v>
      </c>
      <c r="AL31" s="34">
        <v>3.23</v>
      </c>
      <c r="AM31" s="15" t="s">
        <v>56</v>
      </c>
      <c r="AN31" s="37">
        <v>3.69</v>
      </c>
      <c r="AO31" s="15" t="s">
        <v>56</v>
      </c>
      <c r="AP31" s="37">
        <v>3.1</v>
      </c>
      <c r="AQ31" s="15" t="s">
        <v>56</v>
      </c>
    </row>
    <row r="32" spans="1:43" ht="15.75" customHeight="1">
      <c r="A32" s="21">
        <v>29</v>
      </c>
      <c r="B32" s="21">
        <v>8.4</v>
      </c>
      <c r="C32" s="21">
        <v>6.7</v>
      </c>
      <c r="D32" s="21">
        <v>8.5</v>
      </c>
      <c r="E32" s="21">
        <v>6.1</v>
      </c>
      <c r="F32" s="21" t="s">
        <v>67</v>
      </c>
      <c r="G32">
        <v>3</v>
      </c>
      <c r="H32" s="21" t="s">
        <v>56</v>
      </c>
      <c r="I32" s="21"/>
      <c r="K32" s="44"/>
      <c r="L32" s="21" t="s">
        <v>109</v>
      </c>
      <c r="M32" s="21"/>
      <c r="N32">
        <v>3.7</v>
      </c>
      <c r="R32">
        <v>2.9</v>
      </c>
      <c r="S32" s="21" t="s">
        <v>56</v>
      </c>
      <c r="T32" s="33">
        <v>3.3</v>
      </c>
      <c r="U32" s="15" t="s">
        <v>56</v>
      </c>
      <c r="V32" s="34">
        <v>3</v>
      </c>
      <c r="W32" s="15" t="s">
        <v>56</v>
      </c>
      <c r="X32" s="35">
        <v>3.1</v>
      </c>
      <c r="Y32" s="15" t="s">
        <v>56</v>
      </c>
      <c r="Z32" s="35">
        <v>3.4</v>
      </c>
      <c r="AA32" s="15" t="s">
        <v>56</v>
      </c>
      <c r="AB32" s="36">
        <v>2.9</v>
      </c>
      <c r="AC32" s="15" t="s">
        <v>56</v>
      </c>
      <c r="AD32" s="36">
        <v>2.5</v>
      </c>
      <c r="AE32" s="15" t="s">
        <v>56</v>
      </c>
      <c r="AF32" s="36">
        <v>3.31</v>
      </c>
      <c r="AG32" s="15" t="s">
        <v>56</v>
      </c>
      <c r="AH32" s="34">
        <v>2.99</v>
      </c>
      <c r="AI32" s="15" t="s">
        <v>56</v>
      </c>
      <c r="AJ32" s="37">
        <v>3.37</v>
      </c>
      <c r="AK32" s="15" t="s">
        <v>56</v>
      </c>
      <c r="AL32" s="34">
        <v>3.49</v>
      </c>
      <c r="AM32" s="15" t="s">
        <v>56</v>
      </c>
      <c r="AN32" s="37">
        <v>3.56</v>
      </c>
      <c r="AO32" s="15" t="s">
        <v>56</v>
      </c>
      <c r="AP32" s="37">
        <v>3.5</v>
      </c>
      <c r="AQ32" s="15" t="s">
        <v>56</v>
      </c>
    </row>
    <row r="33" spans="1:43" ht="15.75" customHeight="1">
      <c r="A33" s="21">
        <v>30</v>
      </c>
      <c r="B33" s="21">
        <v>7.7</v>
      </c>
      <c r="C33" s="21">
        <v>8.1999999999999993</v>
      </c>
      <c r="D33" s="21">
        <v>8.8000000000000007</v>
      </c>
      <c r="E33" s="21">
        <v>6.6</v>
      </c>
      <c r="F33" s="21" t="s">
        <v>67</v>
      </c>
      <c r="G33">
        <v>8.5</v>
      </c>
      <c r="H33" s="21" t="s">
        <v>56</v>
      </c>
      <c r="I33" s="21"/>
      <c r="K33" s="44"/>
      <c r="L33" s="21" t="s">
        <v>109</v>
      </c>
      <c r="M33" s="21"/>
      <c r="N33" s="23">
        <v>13.3</v>
      </c>
      <c r="O33" s="23" t="s">
        <v>60</v>
      </c>
      <c r="R33">
        <v>3</v>
      </c>
      <c r="S33" s="21" t="s">
        <v>56</v>
      </c>
      <c r="T33" s="33">
        <v>3.5</v>
      </c>
      <c r="U33" s="15" t="s">
        <v>56</v>
      </c>
      <c r="V33" s="34">
        <v>3</v>
      </c>
      <c r="W33" s="15" t="s">
        <v>56</v>
      </c>
      <c r="X33" s="35">
        <v>3</v>
      </c>
      <c r="Y33" s="15" t="s">
        <v>56</v>
      </c>
      <c r="Z33" s="35">
        <v>3.5</v>
      </c>
      <c r="AA33" s="15" t="s">
        <v>56</v>
      </c>
      <c r="AB33" s="36">
        <v>3</v>
      </c>
      <c r="AC33" s="15" t="s">
        <v>56</v>
      </c>
      <c r="AD33" s="36">
        <v>3.9</v>
      </c>
      <c r="AE33" s="15" t="s">
        <v>56</v>
      </c>
      <c r="AF33" s="36">
        <v>2.86</v>
      </c>
      <c r="AG33" s="15" t="s">
        <v>56</v>
      </c>
      <c r="AH33" s="34">
        <v>3.03</v>
      </c>
      <c r="AI33" s="15" t="s">
        <v>56</v>
      </c>
      <c r="AJ33" s="37">
        <v>3.19</v>
      </c>
      <c r="AK33" s="15" t="s">
        <v>56</v>
      </c>
      <c r="AL33" s="34">
        <v>3.28</v>
      </c>
      <c r="AM33" s="15" t="s">
        <v>56</v>
      </c>
      <c r="AN33" s="37">
        <v>3.51</v>
      </c>
      <c r="AO33" s="15" t="s">
        <v>56</v>
      </c>
      <c r="AP33" s="37">
        <v>3.6</v>
      </c>
      <c r="AQ33" s="15" t="s">
        <v>56</v>
      </c>
    </row>
    <row r="34" spans="1:43" ht="15.75" customHeight="1">
      <c r="A34" s="21">
        <v>31</v>
      </c>
      <c r="B34" s="21">
        <v>6.2</v>
      </c>
      <c r="C34" s="21">
        <v>2.8</v>
      </c>
      <c r="D34" s="21">
        <v>7.2</v>
      </c>
      <c r="E34" s="21">
        <v>8.6999999999999993</v>
      </c>
      <c r="F34" s="21" t="s">
        <v>67</v>
      </c>
      <c r="G34">
        <v>6.8</v>
      </c>
      <c r="H34" s="21" t="s">
        <v>56</v>
      </c>
      <c r="I34" s="21"/>
      <c r="K34" s="44"/>
      <c r="L34" s="21" t="s">
        <v>109</v>
      </c>
      <c r="M34" s="21"/>
      <c r="N34" s="23">
        <v>11.1</v>
      </c>
      <c r="O34" s="23" t="s">
        <v>107</v>
      </c>
      <c r="R34">
        <v>3.3</v>
      </c>
      <c r="S34" s="21" t="s">
        <v>56</v>
      </c>
      <c r="T34" s="33">
        <v>3.2</v>
      </c>
      <c r="U34" s="15" t="s">
        <v>56</v>
      </c>
      <c r="V34" s="34">
        <v>2.9</v>
      </c>
      <c r="W34" s="15" t="s">
        <v>56</v>
      </c>
      <c r="X34" s="35">
        <v>3.3</v>
      </c>
      <c r="Y34" s="15" t="s">
        <v>56</v>
      </c>
      <c r="Z34" s="35">
        <v>3.6</v>
      </c>
      <c r="AA34" s="15" t="s">
        <v>56</v>
      </c>
      <c r="AB34" s="36">
        <v>3.1</v>
      </c>
      <c r="AC34" s="15" t="s">
        <v>56</v>
      </c>
      <c r="AD34" s="36">
        <v>3.6</v>
      </c>
      <c r="AE34" s="15" t="s">
        <v>56</v>
      </c>
      <c r="AF34" s="36">
        <v>3.45</v>
      </c>
      <c r="AG34" s="15" t="s">
        <v>56</v>
      </c>
      <c r="AH34" s="34">
        <v>3.33</v>
      </c>
      <c r="AI34" s="15" t="s">
        <v>56</v>
      </c>
      <c r="AJ34" s="37">
        <v>3.13</v>
      </c>
      <c r="AK34" s="15" t="s">
        <v>56</v>
      </c>
      <c r="AL34" s="34">
        <v>3.3</v>
      </c>
      <c r="AM34" s="15" t="s">
        <v>56</v>
      </c>
      <c r="AN34" s="37">
        <v>3.18</v>
      </c>
      <c r="AO34" s="15" t="s">
        <v>56</v>
      </c>
      <c r="AP34" s="37">
        <v>2.9</v>
      </c>
      <c r="AQ34" s="15" t="s">
        <v>56</v>
      </c>
    </row>
    <row r="35" spans="1:43" ht="15.75" customHeight="1">
      <c r="A35" s="21">
        <v>32</v>
      </c>
      <c r="B35" s="21">
        <v>3</v>
      </c>
      <c r="C35" s="21">
        <v>6.1</v>
      </c>
      <c r="D35" s="21">
        <v>6.8</v>
      </c>
      <c r="E35" s="42">
        <v>9.3000000000000007</v>
      </c>
      <c r="F35" s="42" t="s">
        <v>71</v>
      </c>
      <c r="G35">
        <v>3.3</v>
      </c>
      <c r="H35" s="21" t="s">
        <v>56</v>
      </c>
      <c r="I35" s="21"/>
      <c r="K35" s="44"/>
      <c r="L35" s="21" t="s">
        <v>109</v>
      </c>
      <c r="M35" s="21"/>
      <c r="N35">
        <v>4</v>
      </c>
      <c r="R35">
        <v>3</v>
      </c>
      <c r="S35" s="21" t="s">
        <v>56</v>
      </c>
      <c r="T35" s="33">
        <v>3.8</v>
      </c>
      <c r="U35" s="15" t="s">
        <v>56</v>
      </c>
      <c r="V35" s="34">
        <v>2.9</v>
      </c>
      <c r="W35" s="15" t="s">
        <v>56</v>
      </c>
      <c r="X35" s="35">
        <v>2.4</v>
      </c>
      <c r="Y35" s="15" t="s">
        <v>56</v>
      </c>
      <c r="Z35" s="35">
        <v>3.3</v>
      </c>
      <c r="AA35" s="15" t="s">
        <v>56</v>
      </c>
      <c r="AB35" s="36">
        <v>3.1</v>
      </c>
      <c r="AC35" s="15" t="s">
        <v>56</v>
      </c>
      <c r="AD35" s="36">
        <v>2.6</v>
      </c>
      <c r="AE35" s="15" t="s">
        <v>56</v>
      </c>
      <c r="AF35" s="36">
        <v>3.58</v>
      </c>
      <c r="AG35" s="15" t="s">
        <v>56</v>
      </c>
      <c r="AH35" s="34">
        <v>2.95</v>
      </c>
      <c r="AI35" s="15" t="s">
        <v>56</v>
      </c>
      <c r="AJ35" s="37">
        <v>3.15</v>
      </c>
      <c r="AK35" s="15" t="s">
        <v>56</v>
      </c>
      <c r="AL35" s="34">
        <v>3.33</v>
      </c>
      <c r="AM35" s="15" t="s">
        <v>56</v>
      </c>
      <c r="AN35" s="37">
        <v>3.49</v>
      </c>
      <c r="AO35" s="15" t="s">
        <v>56</v>
      </c>
      <c r="AP35" s="37">
        <v>2</v>
      </c>
      <c r="AQ35" s="15" t="s">
        <v>56</v>
      </c>
    </row>
    <row r="36" spans="1:43" ht="15.75" customHeight="1">
      <c r="A36" s="21">
        <v>33</v>
      </c>
      <c r="B36" s="21">
        <v>7.9</v>
      </c>
      <c r="C36" s="21">
        <v>5.5</v>
      </c>
      <c r="D36" s="21" t="s">
        <v>110</v>
      </c>
      <c r="E36" s="21"/>
      <c r="F36" s="21"/>
      <c r="G36" s="44"/>
      <c r="H36" t="s">
        <v>111</v>
      </c>
      <c r="I36" s="21"/>
      <c r="K36" s="21"/>
      <c r="L36" s="21"/>
      <c r="M36" s="21"/>
      <c r="P36">
        <v>2.6</v>
      </c>
      <c r="Q36" t="s">
        <v>112</v>
      </c>
      <c r="R36">
        <v>3.4</v>
      </c>
      <c r="S36" s="21" t="s">
        <v>56</v>
      </c>
      <c r="T36" s="33">
        <v>3.6</v>
      </c>
      <c r="U36" s="15" t="s">
        <v>56</v>
      </c>
      <c r="V36" s="34">
        <v>3</v>
      </c>
      <c r="W36" s="15" t="s">
        <v>56</v>
      </c>
      <c r="X36" s="35">
        <v>2.2000000000000002</v>
      </c>
      <c r="Y36" s="15" t="s">
        <v>56</v>
      </c>
      <c r="Z36" s="35">
        <v>3.2</v>
      </c>
      <c r="AA36" s="15" t="s">
        <v>56</v>
      </c>
      <c r="AB36" s="36">
        <v>3.4</v>
      </c>
      <c r="AC36" s="15" t="s">
        <v>56</v>
      </c>
      <c r="AD36" s="36">
        <v>2.9</v>
      </c>
      <c r="AE36" s="15" t="s">
        <v>56</v>
      </c>
      <c r="AF36" s="36">
        <v>2.6</v>
      </c>
      <c r="AG36" s="15" t="s">
        <v>56</v>
      </c>
      <c r="AH36" s="34">
        <v>3.33</v>
      </c>
      <c r="AI36" s="15" t="s">
        <v>56</v>
      </c>
      <c r="AJ36" s="37">
        <v>3.32</v>
      </c>
      <c r="AK36" s="15" t="s">
        <v>56</v>
      </c>
      <c r="AL36" s="34">
        <v>3.35</v>
      </c>
      <c r="AM36" s="15" t="s">
        <v>56</v>
      </c>
      <c r="AN36" s="37">
        <v>3.64</v>
      </c>
      <c r="AO36" s="15" t="s">
        <v>56</v>
      </c>
      <c r="AP36" s="37">
        <v>3.7</v>
      </c>
      <c r="AQ36" s="15" t="s">
        <v>56</v>
      </c>
    </row>
    <row r="37" spans="1:43" ht="15.75" customHeight="1">
      <c r="A37" s="21">
        <v>34</v>
      </c>
      <c r="B37" s="21">
        <v>5.3</v>
      </c>
      <c r="C37" s="21">
        <v>8</v>
      </c>
      <c r="D37" s="21"/>
      <c r="E37" s="21"/>
      <c r="F37" s="21"/>
      <c r="G37" s="44"/>
      <c r="H37" s="21" t="s">
        <v>111</v>
      </c>
      <c r="I37" s="21"/>
      <c r="K37" s="21"/>
      <c r="L37" s="21"/>
      <c r="M37" s="21"/>
      <c r="P37">
        <v>2.7</v>
      </c>
      <c r="Q37" s="21" t="s">
        <v>112</v>
      </c>
      <c r="R37">
        <v>3.1</v>
      </c>
      <c r="S37" s="21" t="s">
        <v>56</v>
      </c>
      <c r="T37" s="33">
        <v>3</v>
      </c>
      <c r="U37" s="15" t="s">
        <v>56</v>
      </c>
      <c r="V37" s="34">
        <v>3.1</v>
      </c>
      <c r="W37" s="15" t="s">
        <v>56</v>
      </c>
      <c r="X37" s="35">
        <v>3.3</v>
      </c>
      <c r="Y37" s="15" t="s">
        <v>56</v>
      </c>
      <c r="Z37" s="35">
        <v>3.2</v>
      </c>
      <c r="AA37" s="15" t="s">
        <v>56</v>
      </c>
      <c r="AB37" s="36">
        <v>3.2</v>
      </c>
      <c r="AC37" s="15" t="s">
        <v>56</v>
      </c>
      <c r="AD37" s="36">
        <v>3.5</v>
      </c>
      <c r="AE37" s="15" t="s">
        <v>56</v>
      </c>
      <c r="AF37" s="36">
        <v>3.33</v>
      </c>
      <c r="AG37" s="15" t="s">
        <v>56</v>
      </c>
      <c r="AH37" s="34">
        <v>3.35</v>
      </c>
      <c r="AI37" s="15" t="s">
        <v>56</v>
      </c>
      <c r="AJ37" s="37">
        <v>3.29</v>
      </c>
      <c r="AK37" s="15" t="s">
        <v>56</v>
      </c>
      <c r="AL37" s="34">
        <v>3.39</v>
      </c>
      <c r="AM37" s="15" t="s">
        <v>56</v>
      </c>
      <c r="AN37" s="37">
        <v>3.49</v>
      </c>
      <c r="AO37" s="15" t="s">
        <v>56</v>
      </c>
      <c r="AP37" s="37">
        <v>2.8</v>
      </c>
      <c r="AQ37" s="15" t="s">
        <v>56</v>
      </c>
    </row>
    <row r="38" spans="1:43" ht="15.75" customHeight="1">
      <c r="A38" s="21">
        <v>35</v>
      </c>
      <c r="B38" s="21">
        <v>7.9</v>
      </c>
      <c r="C38" s="21">
        <v>7</v>
      </c>
      <c r="D38" s="21"/>
      <c r="E38" s="21"/>
      <c r="F38" s="21"/>
      <c r="G38" s="44"/>
      <c r="H38" s="21" t="s">
        <v>111</v>
      </c>
      <c r="I38" s="21"/>
      <c r="K38" s="21"/>
      <c r="L38" s="21"/>
      <c r="M38" s="21"/>
      <c r="P38">
        <v>2.7</v>
      </c>
      <c r="Q38" s="21" t="s">
        <v>112</v>
      </c>
      <c r="R38">
        <v>3.6</v>
      </c>
      <c r="S38" s="21" t="s">
        <v>56</v>
      </c>
      <c r="T38" s="33">
        <v>3.4</v>
      </c>
      <c r="U38" s="15" t="s">
        <v>56</v>
      </c>
      <c r="V38" s="34">
        <v>3.4</v>
      </c>
      <c r="W38" s="15" t="s">
        <v>56</v>
      </c>
      <c r="X38" s="35">
        <v>3.2</v>
      </c>
      <c r="Y38" s="15" t="s">
        <v>56</v>
      </c>
      <c r="Z38" s="35">
        <v>3.2</v>
      </c>
      <c r="AA38" s="15" t="s">
        <v>56</v>
      </c>
      <c r="AB38" s="36">
        <v>3.6</v>
      </c>
      <c r="AC38" s="15" t="s">
        <v>56</v>
      </c>
      <c r="AD38" s="36">
        <v>3.4</v>
      </c>
      <c r="AE38" s="15" t="s">
        <v>56</v>
      </c>
      <c r="AF38" s="36">
        <v>3.28</v>
      </c>
      <c r="AG38" s="15" t="s">
        <v>56</v>
      </c>
      <c r="AH38" s="34">
        <v>3.27</v>
      </c>
      <c r="AI38" s="15" t="s">
        <v>56</v>
      </c>
      <c r="AJ38" s="37">
        <v>3.61</v>
      </c>
      <c r="AK38" s="15" t="s">
        <v>56</v>
      </c>
      <c r="AL38" s="34">
        <v>3.7</v>
      </c>
      <c r="AM38" s="15" t="s">
        <v>56</v>
      </c>
      <c r="AN38" s="37">
        <v>3.83</v>
      </c>
      <c r="AO38" s="15" t="s">
        <v>56</v>
      </c>
      <c r="AP38" s="37">
        <v>3</v>
      </c>
      <c r="AQ38" s="15" t="s">
        <v>56</v>
      </c>
    </row>
    <row r="39" spans="1:43" ht="15.75" customHeight="1">
      <c r="A39" s="21">
        <v>36</v>
      </c>
      <c r="B39" s="21">
        <v>6.1</v>
      </c>
      <c r="C39" s="38">
        <v>11.8</v>
      </c>
      <c r="D39" s="38"/>
      <c r="E39" s="38"/>
      <c r="F39" s="38"/>
      <c r="G39" s="44"/>
      <c r="H39" s="21" t="s">
        <v>111</v>
      </c>
      <c r="I39" s="21"/>
      <c r="K39" s="21"/>
      <c r="L39" s="21"/>
      <c r="M39" s="21"/>
      <c r="P39">
        <v>2.6</v>
      </c>
      <c r="Q39" s="21" t="s">
        <v>112</v>
      </c>
      <c r="R39">
        <v>3</v>
      </c>
      <c r="S39" s="21" t="s">
        <v>56</v>
      </c>
      <c r="T39" s="33">
        <v>3.6</v>
      </c>
      <c r="U39" s="15" t="s">
        <v>56</v>
      </c>
      <c r="V39" s="34">
        <v>3.8</v>
      </c>
      <c r="W39" s="15" t="s">
        <v>56</v>
      </c>
      <c r="X39" s="35">
        <v>6</v>
      </c>
      <c r="Y39" s="15" t="s">
        <v>56</v>
      </c>
      <c r="Z39" s="35">
        <v>3.2</v>
      </c>
      <c r="AA39" s="15" t="s">
        <v>56</v>
      </c>
      <c r="AB39" s="36">
        <v>3.3</v>
      </c>
      <c r="AC39" s="15" t="s">
        <v>56</v>
      </c>
      <c r="AD39" s="36">
        <v>3.3</v>
      </c>
      <c r="AE39" s="15" t="s">
        <v>56</v>
      </c>
      <c r="AF39" s="36">
        <v>6.74</v>
      </c>
      <c r="AG39" s="15" t="s">
        <v>56</v>
      </c>
      <c r="AH39" s="34">
        <v>6.47</v>
      </c>
      <c r="AI39" s="15" t="s">
        <v>56</v>
      </c>
      <c r="AJ39" s="37">
        <v>3.44</v>
      </c>
      <c r="AK39" s="15" t="s">
        <v>56</v>
      </c>
      <c r="AL39" s="34">
        <v>3.47</v>
      </c>
      <c r="AM39" s="15" t="s">
        <v>56</v>
      </c>
      <c r="AN39" s="37">
        <v>3.64</v>
      </c>
      <c r="AO39" s="15" t="s">
        <v>56</v>
      </c>
      <c r="AP39" s="37">
        <v>3.1</v>
      </c>
      <c r="AQ39" s="15" t="s">
        <v>56</v>
      </c>
    </row>
    <row r="40" spans="1:43" ht="15.75" customHeight="1">
      <c r="A40" s="21">
        <v>37</v>
      </c>
      <c r="B40" s="21">
        <v>6.6</v>
      </c>
      <c r="C40" s="38">
        <v>9.4</v>
      </c>
      <c r="D40" s="38"/>
      <c r="E40" s="38"/>
      <c r="F40" s="38"/>
      <c r="G40" s="44"/>
      <c r="H40" s="21" t="s">
        <v>111</v>
      </c>
      <c r="I40" s="21"/>
      <c r="K40" s="21"/>
      <c r="L40" s="21"/>
      <c r="M40" s="21"/>
      <c r="P40">
        <v>2.6</v>
      </c>
      <c r="Q40" s="21" t="s">
        <v>112</v>
      </c>
      <c r="R40">
        <v>3.6</v>
      </c>
      <c r="S40" s="21" t="s">
        <v>56</v>
      </c>
      <c r="T40" s="33">
        <v>3.2</v>
      </c>
      <c r="U40" s="15" t="s">
        <v>56</v>
      </c>
      <c r="V40" s="34">
        <v>3.7</v>
      </c>
      <c r="W40" s="15" t="s">
        <v>56</v>
      </c>
      <c r="X40" s="35">
        <v>2.4</v>
      </c>
      <c r="Y40" s="15" t="s">
        <v>56</v>
      </c>
      <c r="Z40" s="35">
        <v>2.9</v>
      </c>
      <c r="AA40" s="15" t="s">
        <v>56</v>
      </c>
      <c r="AB40" s="36">
        <v>3</v>
      </c>
      <c r="AC40" s="15" t="s">
        <v>56</v>
      </c>
      <c r="AD40" s="36">
        <v>3.5</v>
      </c>
      <c r="AE40" s="15" t="s">
        <v>56</v>
      </c>
      <c r="AF40" s="36">
        <v>4.4400000000000004</v>
      </c>
      <c r="AG40" s="15" t="s">
        <v>56</v>
      </c>
      <c r="AH40" s="34">
        <v>3.48</v>
      </c>
      <c r="AI40" s="15" t="s">
        <v>56</v>
      </c>
      <c r="AJ40" s="37">
        <v>3.6</v>
      </c>
      <c r="AK40" s="15" t="s">
        <v>56</v>
      </c>
      <c r="AL40" s="34">
        <v>3.54</v>
      </c>
      <c r="AM40" s="15" t="s">
        <v>56</v>
      </c>
      <c r="AN40" s="37">
        <v>3.89</v>
      </c>
      <c r="AO40" s="15" t="s">
        <v>56</v>
      </c>
      <c r="AP40" s="37">
        <v>3.4</v>
      </c>
      <c r="AQ40" s="15" t="s">
        <v>56</v>
      </c>
    </row>
    <row r="41" spans="1:43" ht="15.75" customHeight="1">
      <c r="A41" s="21">
        <v>38</v>
      </c>
      <c r="B41" s="21">
        <v>8.6</v>
      </c>
      <c r="C41" s="38">
        <v>9.4</v>
      </c>
      <c r="D41" s="38"/>
      <c r="E41" s="38"/>
      <c r="F41" s="38"/>
      <c r="G41" s="44"/>
      <c r="H41" s="21" t="s">
        <v>111</v>
      </c>
      <c r="I41" s="21"/>
      <c r="K41" s="21"/>
      <c r="L41" s="21"/>
      <c r="M41" s="21"/>
      <c r="P41">
        <v>2.6</v>
      </c>
      <c r="Q41" s="21" t="s">
        <v>112</v>
      </c>
      <c r="R41">
        <v>3.1</v>
      </c>
      <c r="S41" s="21" t="s">
        <v>56</v>
      </c>
      <c r="T41" s="33">
        <v>3.2</v>
      </c>
      <c r="U41" s="15" t="s">
        <v>56</v>
      </c>
      <c r="V41" s="34">
        <v>3.3</v>
      </c>
      <c r="W41" s="15" t="s">
        <v>56</v>
      </c>
      <c r="X41" s="35">
        <v>2.9</v>
      </c>
      <c r="Y41" s="15" t="s">
        <v>56</v>
      </c>
      <c r="Z41" s="35">
        <v>3.2</v>
      </c>
      <c r="AA41" s="15" t="s">
        <v>56</v>
      </c>
      <c r="AB41" s="36">
        <v>3.4</v>
      </c>
      <c r="AC41" s="15" t="s">
        <v>56</v>
      </c>
      <c r="AD41" s="36">
        <v>3.6</v>
      </c>
      <c r="AE41" s="15" t="s">
        <v>56</v>
      </c>
      <c r="AF41" s="36">
        <v>2.74</v>
      </c>
      <c r="AG41" s="15" t="s">
        <v>56</v>
      </c>
      <c r="AH41" s="34">
        <v>3.17</v>
      </c>
      <c r="AI41" s="15" t="s">
        <v>56</v>
      </c>
      <c r="AJ41" s="37">
        <v>3.22</v>
      </c>
      <c r="AK41" s="15" t="s">
        <v>56</v>
      </c>
      <c r="AL41" s="34">
        <v>3.22</v>
      </c>
      <c r="AM41" s="15" t="s">
        <v>56</v>
      </c>
      <c r="AN41" s="37">
        <v>3.45</v>
      </c>
      <c r="AO41" s="15" t="s">
        <v>56</v>
      </c>
      <c r="AP41" s="37">
        <v>3.6</v>
      </c>
      <c r="AQ41" s="15" t="s">
        <v>56</v>
      </c>
    </row>
    <row r="42" spans="1:43" ht="15.75" customHeight="1">
      <c r="A42" s="21">
        <v>39</v>
      </c>
      <c r="B42" s="21">
        <v>8</v>
      </c>
      <c r="C42" s="21">
        <v>8.1999999999999993</v>
      </c>
      <c r="D42" s="21"/>
      <c r="E42" s="21"/>
      <c r="F42" s="21"/>
      <c r="G42" s="44"/>
      <c r="H42" s="21" t="s">
        <v>111</v>
      </c>
      <c r="I42" s="21"/>
      <c r="K42" s="21"/>
      <c r="L42" s="21"/>
      <c r="M42" s="21"/>
      <c r="P42">
        <v>2.6</v>
      </c>
      <c r="Q42" s="21" t="s">
        <v>112</v>
      </c>
      <c r="R42">
        <v>2.1</v>
      </c>
      <c r="S42" s="21" t="s">
        <v>56</v>
      </c>
      <c r="T42" s="33">
        <v>3.4</v>
      </c>
      <c r="U42" s="15" t="s">
        <v>56</v>
      </c>
      <c r="V42" s="34">
        <v>3.2</v>
      </c>
      <c r="W42" s="15" t="s">
        <v>56</v>
      </c>
      <c r="X42" s="35">
        <v>3.1</v>
      </c>
      <c r="Y42" s="15" t="s">
        <v>56</v>
      </c>
      <c r="Z42" s="35">
        <v>3.2</v>
      </c>
      <c r="AA42" s="15" t="s">
        <v>56</v>
      </c>
      <c r="AB42" s="36">
        <v>3</v>
      </c>
      <c r="AC42" s="15" t="s">
        <v>56</v>
      </c>
      <c r="AD42" s="36">
        <v>2.9</v>
      </c>
      <c r="AE42" s="15" t="s">
        <v>56</v>
      </c>
      <c r="AF42" s="36">
        <v>3.46</v>
      </c>
      <c r="AG42" s="15" t="s">
        <v>56</v>
      </c>
      <c r="AH42" s="34">
        <v>3.41</v>
      </c>
      <c r="AI42" s="15" t="s">
        <v>56</v>
      </c>
      <c r="AJ42" s="37">
        <v>3.28</v>
      </c>
      <c r="AK42" s="15" t="s">
        <v>56</v>
      </c>
      <c r="AL42" s="34">
        <v>3.37</v>
      </c>
      <c r="AM42" s="15" t="s">
        <v>56</v>
      </c>
      <c r="AN42" s="37">
        <v>3.39</v>
      </c>
      <c r="AO42" s="15" t="s">
        <v>56</v>
      </c>
      <c r="AP42" s="37">
        <v>3.4</v>
      </c>
      <c r="AQ42" s="15" t="s">
        <v>56</v>
      </c>
    </row>
    <row r="43" spans="1:43" ht="15.75" customHeight="1">
      <c r="A43" s="21">
        <v>40</v>
      </c>
      <c r="B43" s="21">
        <v>8</v>
      </c>
      <c r="C43" s="21">
        <v>8.8000000000000007</v>
      </c>
      <c r="D43" s="21"/>
      <c r="E43" s="21"/>
      <c r="F43" s="21"/>
      <c r="G43" s="44"/>
      <c r="H43" s="21" t="s">
        <v>111</v>
      </c>
      <c r="I43" s="21"/>
      <c r="K43" s="21"/>
      <c r="L43" s="21"/>
      <c r="M43" s="21"/>
      <c r="P43">
        <v>2.5</v>
      </c>
      <c r="Q43" s="21" t="s">
        <v>112</v>
      </c>
      <c r="R43">
        <v>2.9</v>
      </c>
      <c r="S43" s="21" t="s">
        <v>56</v>
      </c>
      <c r="T43" s="33">
        <v>3.3</v>
      </c>
      <c r="U43" s="15" t="s">
        <v>56</v>
      </c>
      <c r="V43" s="34">
        <v>2.9</v>
      </c>
      <c r="W43" s="15" t="s">
        <v>56</v>
      </c>
      <c r="X43" s="35">
        <v>2.5</v>
      </c>
      <c r="Y43" s="15" t="s">
        <v>56</v>
      </c>
      <c r="Z43" s="35">
        <v>3.4</v>
      </c>
      <c r="AA43" s="15" t="s">
        <v>56</v>
      </c>
      <c r="AB43" s="36">
        <v>3</v>
      </c>
      <c r="AC43" s="15" t="s">
        <v>56</v>
      </c>
      <c r="AD43" s="36">
        <v>3.5</v>
      </c>
      <c r="AE43" s="15" t="s">
        <v>56</v>
      </c>
      <c r="AF43" s="36">
        <v>3.45</v>
      </c>
      <c r="AG43" s="15" t="s">
        <v>56</v>
      </c>
      <c r="AH43" s="34">
        <v>3.42</v>
      </c>
      <c r="AI43" s="15" t="s">
        <v>56</v>
      </c>
      <c r="AJ43" s="37">
        <v>3.27</v>
      </c>
      <c r="AK43" s="15" t="s">
        <v>56</v>
      </c>
      <c r="AL43" s="34">
        <v>3.47</v>
      </c>
      <c r="AM43" s="15" t="s">
        <v>56</v>
      </c>
      <c r="AN43" s="37">
        <v>3.5</v>
      </c>
      <c r="AO43" s="15" t="s">
        <v>56</v>
      </c>
      <c r="AP43" s="37">
        <v>3.6</v>
      </c>
      <c r="AQ43" s="15" t="s">
        <v>56</v>
      </c>
    </row>
    <row r="44" spans="1:43" ht="15.75" customHeight="1">
      <c r="A44" s="21">
        <v>41</v>
      </c>
      <c r="B44" s="21">
        <v>6.5</v>
      </c>
      <c r="C44" s="21">
        <v>8.6999999999999993</v>
      </c>
      <c r="D44" s="21"/>
      <c r="E44" s="21"/>
      <c r="F44" s="21"/>
      <c r="G44" s="44"/>
      <c r="H44" s="21" t="s">
        <v>111</v>
      </c>
      <c r="I44" s="21"/>
      <c r="K44" s="21"/>
      <c r="L44" s="21"/>
      <c r="M44" s="21"/>
      <c r="P44">
        <v>2.6</v>
      </c>
      <c r="Q44" s="21" t="s">
        <v>112</v>
      </c>
      <c r="R44">
        <v>2.8</v>
      </c>
      <c r="S44" s="21" t="s">
        <v>56</v>
      </c>
      <c r="T44" s="33">
        <v>3.1</v>
      </c>
      <c r="U44" s="15" t="s">
        <v>56</v>
      </c>
      <c r="V44" s="34">
        <v>3.1</v>
      </c>
      <c r="W44" s="15" t="s">
        <v>56</v>
      </c>
      <c r="X44" s="35">
        <v>2.9</v>
      </c>
      <c r="Y44" s="15" t="s">
        <v>56</v>
      </c>
      <c r="Z44" s="35">
        <v>3.4</v>
      </c>
      <c r="AA44" s="15" t="s">
        <v>56</v>
      </c>
      <c r="AB44" s="36">
        <v>3.1</v>
      </c>
      <c r="AC44" s="15" t="s">
        <v>56</v>
      </c>
      <c r="AD44" s="36">
        <v>3.2</v>
      </c>
      <c r="AE44" s="15" t="s">
        <v>56</v>
      </c>
      <c r="AF44" s="36">
        <v>3.34</v>
      </c>
      <c r="AG44" s="15" t="s">
        <v>56</v>
      </c>
      <c r="AH44" s="34">
        <v>3.47</v>
      </c>
      <c r="AI44" s="15" t="s">
        <v>56</v>
      </c>
      <c r="AJ44" s="37">
        <v>3.36</v>
      </c>
      <c r="AK44" s="15" t="s">
        <v>56</v>
      </c>
      <c r="AL44" s="34">
        <v>3.41</v>
      </c>
      <c r="AM44" s="15" t="s">
        <v>56</v>
      </c>
      <c r="AN44" s="37">
        <v>3.56</v>
      </c>
      <c r="AO44" s="15" t="s">
        <v>56</v>
      </c>
      <c r="AP44" s="37">
        <v>3.8</v>
      </c>
      <c r="AQ44" s="15" t="s">
        <v>56</v>
      </c>
    </row>
    <row r="45" spans="1:43" ht="15.75" customHeight="1">
      <c r="A45" s="21">
        <v>42</v>
      </c>
      <c r="B45" s="21">
        <v>7</v>
      </c>
      <c r="C45" s="38">
        <v>11.7</v>
      </c>
      <c r="D45" s="38"/>
      <c r="E45" s="38"/>
      <c r="F45" s="38"/>
      <c r="G45" s="44"/>
      <c r="H45" s="21" t="s">
        <v>111</v>
      </c>
      <c r="I45" s="21"/>
      <c r="K45" s="21"/>
      <c r="L45" s="21"/>
      <c r="M45" s="21"/>
      <c r="P45">
        <v>2.6</v>
      </c>
      <c r="Q45" s="21" t="s">
        <v>112</v>
      </c>
      <c r="R45">
        <v>2.2999999999999998</v>
      </c>
      <c r="S45" s="21" t="s">
        <v>56</v>
      </c>
      <c r="T45" s="33">
        <v>2.5</v>
      </c>
      <c r="U45" s="15" t="s">
        <v>56</v>
      </c>
      <c r="V45" s="34">
        <v>3.1</v>
      </c>
      <c r="W45" s="15" t="s">
        <v>56</v>
      </c>
      <c r="X45" s="35">
        <v>2.2999999999999998</v>
      </c>
      <c r="Y45" s="15" t="s">
        <v>56</v>
      </c>
      <c r="Z45" s="35">
        <v>3.2</v>
      </c>
      <c r="AA45" s="15" t="s">
        <v>56</v>
      </c>
      <c r="AB45" s="36">
        <v>3.3</v>
      </c>
      <c r="AC45" s="15" t="s">
        <v>56</v>
      </c>
      <c r="AD45" s="36">
        <v>3.4</v>
      </c>
      <c r="AE45" s="15" t="s">
        <v>56</v>
      </c>
      <c r="AF45" s="36">
        <v>3.24</v>
      </c>
      <c r="AG45" s="15" t="s">
        <v>56</v>
      </c>
      <c r="AH45" s="34">
        <v>3.01</v>
      </c>
      <c r="AI45" s="15" t="s">
        <v>56</v>
      </c>
      <c r="AJ45" s="37">
        <v>3.31</v>
      </c>
      <c r="AK45" s="15" t="s">
        <v>56</v>
      </c>
      <c r="AL45" s="34">
        <v>3.45</v>
      </c>
      <c r="AM45" s="15" t="s">
        <v>56</v>
      </c>
      <c r="AN45" s="37">
        <v>3.36</v>
      </c>
      <c r="AO45" s="15" t="s">
        <v>56</v>
      </c>
      <c r="AP45" s="37">
        <v>3.8</v>
      </c>
      <c r="AQ45" s="15" t="s">
        <v>56</v>
      </c>
    </row>
    <row r="46" spans="1:43" ht="15.75" customHeight="1">
      <c r="A46" s="27">
        <v>43</v>
      </c>
      <c r="B46" s="27">
        <v>9.5</v>
      </c>
      <c r="C46" s="21">
        <v>2.7</v>
      </c>
      <c r="D46" s="21"/>
      <c r="E46" s="21"/>
      <c r="F46" s="21"/>
      <c r="G46" s="44"/>
      <c r="H46" s="21" t="s">
        <v>111</v>
      </c>
      <c r="I46" s="21"/>
      <c r="K46" s="21"/>
      <c r="L46" s="21"/>
      <c r="M46" s="21"/>
      <c r="P46">
        <v>2.7</v>
      </c>
      <c r="Q46" s="21" t="s">
        <v>112</v>
      </c>
      <c r="R46">
        <v>2.8</v>
      </c>
      <c r="S46" s="21" t="s">
        <v>56</v>
      </c>
      <c r="T46" s="33">
        <v>2.9</v>
      </c>
      <c r="U46" s="15" t="s">
        <v>56</v>
      </c>
      <c r="V46" s="34">
        <v>2.9</v>
      </c>
      <c r="W46" s="15" t="s">
        <v>56</v>
      </c>
      <c r="X46" s="35">
        <v>2.8</v>
      </c>
      <c r="Y46" s="15" t="s">
        <v>56</v>
      </c>
      <c r="Z46" s="35">
        <v>3.1</v>
      </c>
      <c r="AA46" s="15" t="s">
        <v>56</v>
      </c>
      <c r="AB46" s="36">
        <v>3</v>
      </c>
      <c r="AC46" s="15" t="s">
        <v>56</v>
      </c>
      <c r="AD46" s="36">
        <v>2.8</v>
      </c>
      <c r="AE46" s="15" t="s">
        <v>56</v>
      </c>
      <c r="AF46" s="36">
        <v>3.26</v>
      </c>
      <c r="AG46" s="15" t="s">
        <v>56</v>
      </c>
      <c r="AH46" s="34">
        <v>2.97</v>
      </c>
      <c r="AI46" s="15" t="s">
        <v>56</v>
      </c>
      <c r="AJ46" s="37">
        <v>3.48</v>
      </c>
      <c r="AK46" s="15" t="s">
        <v>56</v>
      </c>
      <c r="AL46" s="34">
        <v>3.38</v>
      </c>
      <c r="AM46" s="15" t="s">
        <v>56</v>
      </c>
      <c r="AN46" s="37">
        <v>3.33</v>
      </c>
      <c r="AO46" s="15" t="s">
        <v>56</v>
      </c>
      <c r="AP46" s="37">
        <v>3.2</v>
      </c>
      <c r="AQ46" s="15" t="s">
        <v>56</v>
      </c>
    </row>
    <row r="47" spans="1:43" ht="15.75" customHeight="1">
      <c r="A47" s="21">
        <v>44</v>
      </c>
      <c r="B47" s="21">
        <v>3</v>
      </c>
      <c r="C47" s="38">
        <v>10.4</v>
      </c>
      <c r="D47" s="38"/>
      <c r="E47" s="38"/>
      <c r="F47" s="38"/>
      <c r="G47" s="44"/>
      <c r="H47" s="21" t="s">
        <v>111</v>
      </c>
      <c r="I47" s="21"/>
      <c r="K47" s="21"/>
      <c r="L47" s="21"/>
      <c r="M47" s="21"/>
      <c r="P47">
        <v>2.6</v>
      </c>
      <c r="Q47" s="21" t="s">
        <v>112</v>
      </c>
      <c r="R47">
        <v>3</v>
      </c>
      <c r="S47" s="21" t="s">
        <v>56</v>
      </c>
      <c r="T47" s="33">
        <v>3.1</v>
      </c>
      <c r="U47" s="15" t="s">
        <v>56</v>
      </c>
      <c r="V47" s="34">
        <v>2.9</v>
      </c>
      <c r="W47" s="15" t="s">
        <v>56</v>
      </c>
      <c r="X47" s="35">
        <v>3.1</v>
      </c>
      <c r="Y47" s="15" t="s">
        <v>56</v>
      </c>
      <c r="Z47" s="35">
        <v>3</v>
      </c>
      <c r="AA47" s="15" t="s">
        <v>56</v>
      </c>
      <c r="AB47" s="36">
        <v>3.4</v>
      </c>
      <c r="AC47" s="15" t="s">
        <v>56</v>
      </c>
      <c r="AD47" s="36">
        <v>3.2</v>
      </c>
      <c r="AE47" s="15" t="s">
        <v>56</v>
      </c>
      <c r="AF47" s="36">
        <v>3.32</v>
      </c>
      <c r="AG47" s="15" t="s">
        <v>56</v>
      </c>
      <c r="AH47" s="34">
        <v>2.87</v>
      </c>
      <c r="AI47" s="15" t="s">
        <v>56</v>
      </c>
      <c r="AJ47" s="37">
        <v>3.5</v>
      </c>
      <c r="AK47" s="15" t="s">
        <v>56</v>
      </c>
      <c r="AL47" s="34">
        <v>3.31</v>
      </c>
      <c r="AM47" s="15" t="s">
        <v>56</v>
      </c>
      <c r="AN47" s="37">
        <v>3.54</v>
      </c>
      <c r="AO47" s="15" t="s">
        <v>56</v>
      </c>
      <c r="AP47" s="37">
        <v>3.1</v>
      </c>
      <c r="AQ47" s="15" t="s">
        <v>56</v>
      </c>
    </row>
    <row r="48" spans="1:43" ht="15.75" customHeight="1">
      <c r="A48" s="21">
        <v>45</v>
      </c>
      <c r="B48" s="21">
        <v>9</v>
      </c>
      <c r="C48" s="38">
        <v>9.6</v>
      </c>
      <c r="D48" s="38"/>
      <c r="E48" s="38"/>
      <c r="F48" s="38"/>
      <c r="G48" s="44"/>
      <c r="H48" s="21" t="s">
        <v>111</v>
      </c>
      <c r="I48" s="21"/>
      <c r="K48" s="21"/>
      <c r="L48" s="21"/>
      <c r="M48" s="21"/>
      <c r="P48">
        <v>2.5</v>
      </c>
      <c r="Q48" s="21" t="s">
        <v>112</v>
      </c>
      <c r="R48">
        <v>2.9</v>
      </c>
      <c r="S48" s="21" t="s">
        <v>56</v>
      </c>
      <c r="T48" s="33">
        <v>3.2</v>
      </c>
      <c r="U48" s="15" t="s">
        <v>56</v>
      </c>
      <c r="V48" s="34">
        <v>3</v>
      </c>
      <c r="W48" s="15" t="s">
        <v>56</v>
      </c>
      <c r="X48" s="35">
        <v>3.1</v>
      </c>
      <c r="Y48" s="15" t="s">
        <v>56</v>
      </c>
      <c r="Z48" s="35">
        <v>3.1</v>
      </c>
      <c r="AA48" s="15" t="s">
        <v>56</v>
      </c>
      <c r="AB48" s="36">
        <v>3</v>
      </c>
      <c r="AC48" s="15" t="s">
        <v>56</v>
      </c>
      <c r="AD48" s="36">
        <v>3.5</v>
      </c>
      <c r="AE48" s="15" t="s">
        <v>56</v>
      </c>
      <c r="AF48" s="36">
        <v>2.93</v>
      </c>
      <c r="AG48" s="15" t="s">
        <v>56</v>
      </c>
      <c r="AH48" s="34">
        <v>3.56</v>
      </c>
      <c r="AI48" s="15" t="s">
        <v>56</v>
      </c>
      <c r="AJ48" s="37">
        <v>3.52</v>
      </c>
      <c r="AK48" s="15" t="s">
        <v>56</v>
      </c>
      <c r="AL48" s="34">
        <v>3.18</v>
      </c>
      <c r="AM48" s="15" t="s">
        <v>56</v>
      </c>
      <c r="AN48" s="37">
        <v>3.45</v>
      </c>
      <c r="AO48" s="15" t="s">
        <v>56</v>
      </c>
      <c r="AP48" s="37">
        <v>3.3</v>
      </c>
      <c r="AQ48" s="15" t="s">
        <v>56</v>
      </c>
    </row>
    <row r="49" spans="1:43" ht="15.75" customHeight="1">
      <c r="A49" s="27">
        <v>46</v>
      </c>
      <c r="B49" s="27">
        <v>11.1</v>
      </c>
      <c r="C49" s="21">
        <v>7.5</v>
      </c>
      <c r="D49" s="21"/>
      <c r="E49" s="21"/>
      <c r="F49" s="21"/>
      <c r="G49" s="44"/>
      <c r="H49" s="21" t="s">
        <v>111</v>
      </c>
      <c r="I49" s="21"/>
      <c r="K49" s="21"/>
      <c r="L49" s="21"/>
      <c r="M49" s="21"/>
      <c r="P49">
        <v>2.6</v>
      </c>
      <c r="Q49" s="21" t="s">
        <v>112</v>
      </c>
      <c r="R49">
        <v>3.7</v>
      </c>
      <c r="S49" s="21" t="s">
        <v>56</v>
      </c>
      <c r="T49" s="33">
        <v>4</v>
      </c>
      <c r="U49" s="15" t="s">
        <v>56</v>
      </c>
      <c r="V49" s="34">
        <v>3.2</v>
      </c>
      <c r="W49" s="15" t="s">
        <v>56</v>
      </c>
      <c r="X49" s="35">
        <v>3.2</v>
      </c>
      <c r="Y49" s="15" t="s">
        <v>56</v>
      </c>
      <c r="Z49" s="45">
        <v>65.900000000000006</v>
      </c>
      <c r="AA49" s="15" t="s">
        <v>60</v>
      </c>
      <c r="AB49" s="36">
        <v>3.9</v>
      </c>
      <c r="AC49" s="15" t="s">
        <v>56</v>
      </c>
      <c r="AD49" s="36">
        <v>3.3</v>
      </c>
      <c r="AE49" s="15" t="s">
        <v>56</v>
      </c>
      <c r="AF49" s="36">
        <v>2.99</v>
      </c>
      <c r="AG49" s="15" t="s">
        <v>56</v>
      </c>
      <c r="AH49" s="34">
        <v>3.34</v>
      </c>
      <c r="AI49" s="15" t="s">
        <v>56</v>
      </c>
      <c r="AJ49" s="37">
        <v>5.26</v>
      </c>
      <c r="AK49" s="15" t="s">
        <v>56</v>
      </c>
      <c r="AL49" s="34">
        <v>4.82</v>
      </c>
      <c r="AM49" s="15" t="s">
        <v>56</v>
      </c>
      <c r="AN49" s="37">
        <v>5.22</v>
      </c>
      <c r="AO49" s="15" t="s">
        <v>56</v>
      </c>
      <c r="AP49" s="37">
        <v>2.9</v>
      </c>
      <c r="AQ49" s="15" t="s">
        <v>56</v>
      </c>
    </row>
    <row r="50" spans="1:43" ht="15.75" customHeight="1">
      <c r="A50" s="21">
        <v>47</v>
      </c>
      <c r="B50" s="21">
        <v>7.2</v>
      </c>
      <c r="C50" s="23">
        <v>12.4</v>
      </c>
      <c r="D50" s="23"/>
      <c r="E50" s="23"/>
      <c r="F50" s="23"/>
      <c r="G50" s="44"/>
      <c r="H50" s="21" t="s">
        <v>111</v>
      </c>
      <c r="I50" s="21"/>
      <c r="K50" s="21"/>
      <c r="L50" s="21"/>
      <c r="M50" s="21"/>
      <c r="P50">
        <v>2.7</v>
      </c>
      <c r="Q50" s="21" t="s">
        <v>112</v>
      </c>
      <c r="R50">
        <v>3.1</v>
      </c>
      <c r="S50" s="21" t="s">
        <v>56</v>
      </c>
      <c r="T50" s="33">
        <v>4</v>
      </c>
      <c r="U50" s="15" t="s">
        <v>56</v>
      </c>
      <c r="V50" s="34">
        <v>4.0999999999999996</v>
      </c>
      <c r="W50" s="15" t="s">
        <v>56</v>
      </c>
      <c r="X50" s="35">
        <v>3.2</v>
      </c>
      <c r="Y50" s="15" t="s">
        <v>56</v>
      </c>
      <c r="Z50" s="35">
        <v>3.1</v>
      </c>
      <c r="AA50" s="15" t="s">
        <v>56</v>
      </c>
      <c r="AB50" s="36">
        <v>3.3</v>
      </c>
      <c r="AC50" s="15" t="s">
        <v>56</v>
      </c>
      <c r="AD50" s="36">
        <v>5.9</v>
      </c>
      <c r="AE50" s="15" t="s">
        <v>56</v>
      </c>
      <c r="AF50" s="36">
        <v>3.28</v>
      </c>
      <c r="AG50" s="15" t="s">
        <v>56</v>
      </c>
      <c r="AH50" s="34">
        <v>3.18</v>
      </c>
      <c r="AI50" s="15" t="s">
        <v>56</v>
      </c>
      <c r="AJ50" s="37">
        <v>3.5</v>
      </c>
      <c r="AK50" s="15" t="s">
        <v>56</v>
      </c>
      <c r="AL50" s="34">
        <v>3.28</v>
      </c>
      <c r="AM50" s="15" t="s">
        <v>56</v>
      </c>
      <c r="AN50" s="37">
        <v>3.84</v>
      </c>
      <c r="AO50" s="15" t="s">
        <v>56</v>
      </c>
      <c r="AP50" s="37">
        <v>4.5</v>
      </c>
      <c r="AQ50" s="15" t="s">
        <v>56</v>
      </c>
    </row>
    <row r="51" spans="1:43" ht="15.75" customHeight="1">
      <c r="A51" s="21">
        <v>48</v>
      </c>
      <c r="B51" s="21">
        <v>7.5</v>
      </c>
      <c r="C51" s="21">
        <v>8.1999999999999993</v>
      </c>
      <c r="D51" s="21"/>
      <c r="E51" s="21"/>
      <c r="F51" s="21"/>
      <c r="G51" s="44"/>
      <c r="H51" s="21" t="s">
        <v>111</v>
      </c>
      <c r="I51" s="21"/>
      <c r="K51" s="21"/>
      <c r="L51" s="21"/>
      <c r="M51" s="21"/>
      <c r="P51">
        <v>2.6</v>
      </c>
      <c r="Q51" s="21" t="s">
        <v>112</v>
      </c>
      <c r="R51">
        <v>2.6</v>
      </c>
      <c r="S51" s="21" t="s">
        <v>56</v>
      </c>
      <c r="T51" s="33">
        <v>3.1</v>
      </c>
      <c r="U51" s="15" t="s">
        <v>56</v>
      </c>
      <c r="V51" s="34">
        <v>3.2</v>
      </c>
      <c r="W51" s="15" t="s">
        <v>56</v>
      </c>
      <c r="X51" s="35">
        <v>3.3</v>
      </c>
      <c r="Y51" s="15" t="s">
        <v>56</v>
      </c>
      <c r="Z51" s="35">
        <v>3.3</v>
      </c>
      <c r="AA51" s="15" t="s">
        <v>56</v>
      </c>
      <c r="AB51" s="36">
        <v>3</v>
      </c>
      <c r="AC51" s="15" t="s">
        <v>56</v>
      </c>
      <c r="AD51" s="36">
        <v>2.4</v>
      </c>
      <c r="AE51" s="15" t="s">
        <v>56</v>
      </c>
      <c r="AF51" s="36">
        <v>3.06</v>
      </c>
      <c r="AG51" s="15" t="s">
        <v>56</v>
      </c>
      <c r="AH51" s="34">
        <v>3.12</v>
      </c>
      <c r="AI51" s="15" t="s">
        <v>56</v>
      </c>
      <c r="AJ51" s="37">
        <v>3.44</v>
      </c>
      <c r="AK51" s="15" t="s">
        <v>56</v>
      </c>
      <c r="AL51" s="34">
        <v>3.43</v>
      </c>
      <c r="AM51" s="15" t="s">
        <v>56</v>
      </c>
      <c r="AN51" s="37">
        <v>3.05</v>
      </c>
      <c r="AO51" s="15" t="s">
        <v>56</v>
      </c>
      <c r="AP51" s="37">
        <v>4.8</v>
      </c>
      <c r="AQ51" s="15" t="s">
        <v>56</v>
      </c>
    </row>
    <row r="52" spans="1:43" ht="15.75" customHeight="1">
      <c r="A52" s="21">
        <v>49</v>
      </c>
      <c r="B52" s="21">
        <v>6.3</v>
      </c>
      <c r="C52" s="21">
        <v>2.9</v>
      </c>
      <c r="D52" s="21"/>
      <c r="E52" s="21"/>
      <c r="F52" s="21"/>
      <c r="G52" s="44"/>
      <c r="H52" s="21" t="s">
        <v>111</v>
      </c>
      <c r="I52" s="21"/>
      <c r="K52" s="21"/>
      <c r="L52" s="21"/>
      <c r="M52" s="21"/>
      <c r="P52">
        <v>2.6</v>
      </c>
      <c r="Q52" s="21" t="s">
        <v>112</v>
      </c>
      <c r="R52">
        <v>2.9</v>
      </c>
      <c r="S52" s="21" t="s">
        <v>56</v>
      </c>
      <c r="T52" s="33">
        <v>3.2</v>
      </c>
      <c r="U52" s="15" t="s">
        <v>56</v>
      </c>
      <c r="V52" s="34">
        <v>3.1</v>
      </c>
      <c r="W52" s="15" t="s">
        <v>56</v>
      </c>
      <c r="X52" s="35">
        <v>2.8</v>
      </c>
      <c r="Y52" s="15" t="s">
        <v>56</v>
      </c>
      <c r="Z52" s="35">
        <v>2.9</v>
      </c>
      <c r="AA52" s="15" t="s">
        <v>56</v>
      </c>
      <c r="AB52" s="36">
        <v>3.1</v>
      </c>
      <c r="AC52" s="15" t="s">
        <v>56</v>
      </c>
      <c r="AD52" s="36">
        <v>3.1</v>
      </c>
      <c r="AE52" s="15" t="s">
        <v>56</v>
      </c>
      <c r="AF52" s="36">
        <v>3.31</v>
      </c>
      <c r="AG52" s="15" t="s">
        <v>56</v>
      </c>
      <c r="AH52" s="34">
        <v>3.18</v>
      </c>
      <c r="AI52" s="15" t="s">
        <v>56</v>
      </c>
      <c r="AJ52" s="37">
        <v>3.13</v>
      </c>
      <c r="AK52" s="15" t="s">
        <v>56</v>
      </c>
      <c r="AL52" s="34">
        <v>3.29</v>
      </c>
      <c r="AM52" s="15" t="s">
        <v>56</v>
      </c>
      <c r="AN52" s="37">
        <v>3.08</v>
      </c>
      <c r="AO52" s="15" t="s">
        <v>56</v>
      </c>
      <c r="AP52" s="37">
        <v>2.6</v>
      </c>
      <c r="AQ52" s="15" t="s">
        <v>56</v>
      </c>
    </row>
    <row r="53" spans="1:43" ht="15.75" customHeight="1">
      <c r="A53" s="21">
        <v>50</v>
      </c>
      <c r="B53" s="21">
        <v>2.8</v>
      </c>
      <c r="C53" s="38">
        <v>10.199999999999999</v>
      </c>
      <c r="D53" s="38"/>
      <c r="E53" s="38"/>
      <c r="F53" s="38"/>
      <c r="G53" s="44"/>
      <c r="H53" s="21" t="s">
        <v>111</v>
      </c>
      <c r="I53" s="21"/>
      <c r="K53" s="21"/>
      <c r="L53" s="21"/>
      <c r="M53" s="21"/>
      <c r="P53">
        <v>2.7</v>
      </c>
      <c r="Q53" s="21" t="s">
        <v>112</v>
      </c>
      <c r="R53">
        <v>2.9</v>
      </c>
      <c r="S53" s="21" t="s">
        <v>56</v>
      </c>
      <c r="T53" s="33">
        <v>2.8</v>
      </c>
      <c r="U53" s="15" t="s">
        <v>56</v>
      </c>
      <c r="V53" s="34">
        <v>2.8</v>
      </c>
      <c r="W53" s="15" t="s">
        <v>56</v>
      </c>
      <c r="X53" s="35">
        <v>3.3</v>
      </c>
      <c r="Y53" s="15" t="s">
        <v>56</v>
      </c>
      <c r="Z53" s="35">
        <v>3.2</v>
      </c>
      <c r="AA53" s="15" t="s">
        <v>56</v>
      </c>
      <c r="AB53" s="36">
        <v>3.2</v>
      </c>
      <c r="AC53" s="15" t="s">
        <v>56</v>
      </c>
      <c r="AD53" s="36">
        <v>2.4</v>
      </c>
      <c r="AE53" s="15" t="s">
        <v>56</v>
      </c>
      <c r="AF53" s="36">
        <v>3.37</v>
      </c>
      <c r="AG53" s="15" t="s">
        <v>56</v>
      </c>
      <c r="AH53" s="34">
        <v>3.79</v>
      </c>
      <c r="AI53" s="15" t="s">
        <v>56</v>
      </c>
      <c r="AJ53" s="37">
        <v>3.08</v>
      </c>
      <c r="AK53" s="15" t="s">
        <v>56</v>
      </c>
      <c r="AL53" s="34">
        <v>3.45</v>
      </c>
      <c r="AM53" s="15" t="s">
        <v>56</v>
      </c>
      <c r="AN53" s="37">
        <v>3.3</v>
      </c>
      <c r="AO53" s="15" t="s">
        <v>56</v>
      </c>
      <c r="AP53" s="37">
        <v>2.7</v>
      </c>
      <c r="AQ53" s="15" t="s">
        <v>56</v>
      </c>
    </row>
    <row r="54" spans="1:43" ht="15.75" customHeight="1">
      <c r="A54" s="21">
        <v>51</v>
      </c>
      <c r="B54" s="21">
        <v>8.8000000000000007</v>
      </c>
      <c r="C54" s="23">
        <v>19.899999999999999</v>
      </c>
      <c r="D54" s="23"/>
      <c r="E54" s="23"/>
      <c r="F54" s="23"/>
      <c r="G54" s="44"/>
      <c r="H54" s="21" t="s">
        <v>111</v>
      </c>
      <c r="I54" s="21"/>
      <c r="K54" s="21"/>
      <c r="L54" s="21"/>
      <c r="M54" s="21"/>
      <c r="P54">
        <v>2.7</v>
      </c>
      <c r="Q54" s="21" t="s">
        <v>112</v>
      </c>
      <c r="R54">
        <v>3.3</v>
      </c>
      <c r="S54" s="21" t="s">
        <v>56</v>
      </c>
      <c r="T54" s="33">
        <v>3.1</v>
      </c>
      <c r="U54" s="15" t="s">
        <v>56</v>
      </c>
      <c r="V54" s="34">
        <v>2.8</v>
      </c>
      <c r="W54" s="15" t="s">
        <v>56</v>
      </c>
      <c r="X54" s="35">
        <v>8.1999999999999993</v>
      </c>
      <c r="Y54" s="15" t="s">
        <v>56</v>
      </c>
      <c r="Z54" s="35">
        <v>3</v>
      </c>
      <c r="AA54" s="15" t="s">
        <v>56</v>
      </c>
      <c r="AB54" s="36">
        <v>3.1</v>
      </c>
      <c r="AC54" s="15" t="s">
        <v>56</v>
      </c>
      <c r="AD54" s="36">
        <v>2.8</v>
      </c>
      <c r="AE54" s="15" t="s">
        <v>56</v>
      </c>
      <c r="AF54" s="36">
        <v>5.47</v>
      </c>
      <c r="AG54" s="15" t="s">
        <v>56</v>
      </c>
      <c r="AH54" s="34">
        <v>4.76</v>
      </c>
      <c r="AI54" s="15" t="s">
        <v>56</v>
      </c>
      <c r="AJ54" s="37">
        <v>3.56</v>
      </c>
      <c r="AK54" s="15" t="s">
        <v>56</v>
      </c>
      <c r="AL54" s="34">
        <v>3.59</v>
      </c>
      <c r="AM54" s="15" t="s">
        <v>56</v>
      </c>
      <c r="AN54" s="37">
        <v>3.62</v>
      </c>
      <c r="AO54" s="15" t="s">
        <v>56</v>
      </c>
      <c r="AP54" s="37">
        <v>3.3</v>
      </c>
      <c r="AQ54" s="15" t="s">
        <v>56</v>
      </c>
    </row>
    <row r="55" spans="1:43" ht="15.75" customHeight="1">
      <c r="A55" s="27">
        <v>52</v>
      </c>
      <c r="B55" s="27">
        <v>10.9</v>
      </c>
      <c r="C55" s="23">
        <v>20</v>
      </c>
      <c r="D55" s="23"/>
      <c r="E55" s="23"/>
      <c r="F55" s="23"/>
      <c r="G55" s="44"/>
      <c r="H55" s="21" t="s">
        <v>111</v>
      </c>
      <c r="I55" s="21"/>
      <c r="K55" s="21"/>
      <c r="L55" s="21"/>
      <c r="M55" s="21"/>
      <c r="P55">
        <v>2.6</v>
      </c>
      <c r="Q55" s="21" t="s">
        <v>112</v>
      </c>
      <c r="R55">
        <v>3.3</v>
      </c>
      <c r="S55" s="21" t="s">
        <v>56</v>
      </c>
      <c r="T55" s="33">
        <v>3.5</v>
      </c>
      <c r="U55" s="15" t="s">
        <v>56</v>
      </c>
      <c r="V55" s="34">
        <v>3.1</v>
      </c>
      <c r="W55" s="15" t="s">
        <v>56</v>
      </c>
      <c r="X55" s="35">
        <v>2.2999999999999998</v>
      </c>
      <c r="Y55" s="15" t="s">
        <v>56</v>
      </c>
      <c r="Z55" s="35">
        <v>3.2</v>
      </c>
      <c r="AA55" s="15" t="s">
        <v>56</v>
      </c>
      <c r="AB55" s="36">
        <v>3.1</v>
      </c>
      <c r="AC55" s="15" t="s">
        <v>56</v>
      </c>
      <c r="AD55" s="36">
        <v>3.1</v>
      </c>
      <c r="AE55" s="15" t="s">
        <v>56</v>
      </c>
      <c r="AF55" s="36">
        <v>2.98</v>
      </c>
      <c r="AG55" s="15" t="s">
        <v>56</v>
      </c>
      <c r="AH55" s="34">
        <v>2.52</v>
      </c>
      <c r="AI55" s="15" t="s">
        <v>56</v>
      </c>
      <c r="AJ55" s="37">
        <v>3.38</v>
      </c>
      <c r="AK55" s="15" t="s">
        <v>56</v>
      </c>
      <c r="AL55" s="34">
        <v>3.38</v>
      </c>
      <c r="AM55" s="15" t="s">
        <v>56</v>
      </c>
      <c r="AN55" s="37">
        <v>3.44</v>
      </c>
      <c r="AO55" s="15" t="s">
        <v>56</v>
      </c>
      <c r="AP55" s="37">
        <v>3.4</v>
      </c>
      <c r="AQ55" s="15" t="s">
        <v>56</v>
      </c>
    </row>
    <row r="56" spans="1:43" ht="15.75" customHeight="1">
      <c r="A56" s="21">
        <v>53</v>
      </c>
      <c r="B56" s="21">
        <v>7.8</v>
      </c>
      <c r="C56" s="38">
        <v>11.3</v>
      </c>
      <c r="D56" s="38"/>
      <c r="E56" s="38"/>
      <c r="F56" s="38"/>
      <c r="G56" s="44"/>
      <c r="H56" s="21" t="s">
        <v>111</v>
      </c>
      <c r="I56" s="21"/>
      <c r="K56" s="21"/>
      <c r="L56" s="21"/>
      <c r="M56" s="21"/>
      <c r="P56">
        <v>2.6</v>
      </c>
      <c r="Q56" s="21" t="s">
        <v>112</v>
      </c>
      <c r="R56">
        <v>2.6</v>
      </c>
      <c r="S56" s="21" t="s">
        <v>56</v>
      </c>
      <c r="T56" s="33">
        <v>3.2</v>
      </c>
      <c r="U56" s="15" t="s">
        <v>56</v>
      </c>
      <c r="V56" s="34">
        <v>3.4</v>
      </c>
      <c r="W56" s="15" t="s">
        <v>56</v>
      </c>
      <c r="X56" s="35">
        <v>2.8</v>
      </c>
      <c r="Y56" s="15" t="s">
        <v>56</v>
      </c>
      <c r="Z56" s="35">
        <v>3</v>
      </c>
      <c r="AA56" s="15" t="s">
        <v>56</v>
      </c>
      <c r="AB56" s="36">
        <v>2.8</v>
      </c>
      <c r="AC56" s="15" t="s">
        <v>56</v>
      </c>
      <c r="AD56" s="36">
        <v>3.2</v>
      </c>
      <c r="AE56" s="15" t="s">
        <v>56</v>
      </c>
      <c r="AF56" s="36">
        <v>2.83</v>
      </c>
      <c r="AG56" s="15" t="s">
        <v>56</v>
      </c>
      <c r="AH56" s="34">
        <v>2.5499999999999998</v>
      </c>
      <c r="AI56" s="15" t="s">
        <v>56</v>
      </c>
      <c r="AJ56" s="37">
        <v>3.33</v>
      </c>
      <c r="AK56" s="15" t="s">
        <v>56</v>
      </c>
      <c r="AL56" s="34">
        <v>3.37</v>
      </c>
      <c r="AM56" s="15" t="s">
        <v>56</v>
      </c>
      <c r="AN56" s="37">
        <v>3.46</v>
      </c>
      <c r="AO56" s="15" t="s">
        <v>56</v>
      </c>
      <c r="AP56" s="37">
        <v>2.9</v>
      </c>
      <c r="AQ56" s="15" t="s">
        <v>56</v>
      </c>
    </row>
    <row r="57" spans="1:43" ht="15.75" customHeight="1">
      <c r="A57" s="21">
        <v>54</v>
      </c>
      <c r="B57" s="21">
        <v>6.9</v>
      </c>
      <c r="C57" s="21">
        <v>7.6</v>
      </c>
      <c r="D57" s="21"/>
      <c r="E57" s="21"/>
      <c r="F57" s="21"/>
      <c r="G57" s="44"/>
      <c r="H57" s="21" t="s">
        <v>111</v>
      </c>
      <c r="I57" s="21"/>
      <c r="K57" s="21"/>
      <c r="L57" s="21"/>
      <c r="M57" s="21"/>
      <c r="P57">
        <v>2.6</v>
      </c>
      <c r="Q57" s="21" t="s">
        <v>112</v>
      </c>
      <c r="R57">
        <v>3.1</v>
      </c>
      <c r="S57" s="21" t="s">
        <v>56</v>
      </c>
      <c r="T57" s="33">
        <v>3.3</v>
      </c>
      <c r="U57" s="15" t="s">
        <v>56</v>
      </c>
      <c r="V57" s="34">
        <v>3.1</v>
      </c>
      <c r="W57" s="15" t="s">
        <v>56</v>
      </c>
      <c r="X57" s="35">
        <v>3</v>
      </c>
      <c r="Y57" s="15" t="s">
        <v>56</v>
      </c>
      <c r="Z57" s="35">
        <v>2.9</v>
      </c>
      <c r="AA57" s="15" t="s">
        <v>56</v>
      </c>
      <c r="AB57" s="36">
        <v>2.5</v>
      </c>
      <c r="AC57" s="15" t="s">
        <v>56</v>
      </c>
      <c r="AD57" s="36">
        <v>3.4</v>
      </c>
      <c r="AE57" s="15" t="s">
        <v>56</v>
      </c>
      <c r="AF57" s="36">
        <v>2.79</v>
      </c>
      <c r="AG57" s="15" t="s">
        <v>56</v>
      </c>
      <c r="AH57" s="34">
        <v>3.17</v>
      </c>
      <c r="AI57" s="15" t="s">
        <v>56</v>
      </c>
      <c r="AJ57" s="37">
        <v>3.28</v>
      </c>
      <c r="AK57" s="15" t="s">
        <v>56</v>
      </c>
      <c r="AL57" s="34">
        <v>3.22</v>
      </c>
      <c r="AM57" s="15" t="s">
        <v>56</v>
      </c>
      <c r="AN57" s="37">
        <v>3.34</v>
      </c>
      <c r="AO57" s="15" t="s">
        <v>56</v>
      </c>
      <c r="AP57" s="37">
        <v>2.6</v>
      </c>
      <c r="AQ57" s="15" t="s">
        <v>56</v>
      </c>
    </row>
    <row r="58" spans="1:43" ht="15.75" customHeight="1">
      <c r="A58" s="21">
        <v>55</v>
      </c>
      <c r="B58" s="21">
        <v>5.9</v>
      </c>
      <c r="C58" s="21">
        <v>6.3</v>
      </c>
      <c r="D58" s="21"/>
      <c r="E58" s="21"/>
      <c r="F58" s="21"/>
      <c r="G58" s="44"/>
      <c r="H58" s="21" t="s">
        <v>111</v>
      </c>
      <c r="I58" s="21"/>
      <c r="K58" s="21"/>
      <c r="L58" s="21"/>
      <c r="M58" s="21"/>
      <c r="P58">
        <v>2.7</v>
      </c>
      <c r="Q58" s="21" t="s">
        <v>112</v>
      </c>
      <c r="R58">
        <v>2.8</v>
      </c>
      <c r="S58" s="21" t="s">
        <v>56</v>
      </c>
      <c r="T58" s="33">
        <v>3</v>
      </c>
      <c r="U58" s="15" t="s">
        <v>56</v>
      </c>
      <c r="V58" s="34">
        <v>3.3</v>
      </c>
      <c r="W58" s="15" t="s">
        <v>56</v>
      </c>
      <c r="X58" s="35">
        <v>3.3</v>
      </c>
      <c r="Y58" s="15" t="s">
        <v>56</v>
      </c>
      <c r="Z58" s="35">
        <v>3.3</v>
      </c>
      <c r="AA58" s="15" t="s">
        <v>56</v>
      </c>
      <c r="AB58" s="36">
        <v>3.1</v>
      </c>
      <c r="AC58" s="15" t="s">
        <v>56</v>
      </c>
      <c r="AD58" s="36">
        <v>2.7</v>
      </c>
      <c r="AE58" s="15" t="s">
        <v>56</v>
      </c>
      <c r="AF58" s="36">
        <v>3.13</v>
      </c>
      <c r="AG58" s="15" t="s">
        <v>56</v>
      </c>
      <c r="AH58" s="34">
        <v>2.86</v>
      </c>
      <c r="AI58" s="15" t="s">
        <v>56</v>
      </c>
      <c r="AJ58" s="37">
        <v>3.12</v>
      </c>
      <c r="AK58" s="15" t="s">
        <v>56</v>
      </c>
      <c r="AL58" s="34">
        <v>3.27</v>
      </c>
      <c r="AM58" s="15" t="s">
        <v>56</v>
      </c>
      <c r="AN58" s="37">
        <v>3.4</v>
      </c>
      <c r="AO58" s="15" t="s">
        <v>56</v>
      </c>
      <c r="AP58" s="37">
        <v>3.5</v>
      </c>
      <c r="AQ58" s="15" t="s">
        <v>56</v>
      </c>
    </row>
    <row r="59" spans="1:43" ht="15.75" customHeight="1">
      <c r="A59" s="21">
        <v>56</v>
      </c>
      <c r="B59" s="21">
        <v>7.8</v>
      </c>
      <c r="C59" s="38">
        <v>10.6</v>
      </c>
      <c r="D59" s="38"/>
      <c r="E59" s="38"/>
      <c r="F59" s="38"/>
      <c r="G59" s="44"/>
      <c r="H59" s="21" t="s">
        <v>111</v>
      </c>
      <c r="I59" s="21"/>
      <c r="K59" s="21"/>
      <c r="L59" s="21"/>
      <c r="M59" s="21"/>
      <c r="P59">
        <v>2.6</v>
      </c>
      <c r="Q59" s="21" t="s">
        <v>112</v>
      </c>
      <c r="R59">
        <v>3.2</v>
      </c>
      <c r="S59" s="21" t="s">
        <v>56</v>
      </c>
      <c r="T59" s="33">
        <v>2.8</v>
      </c>
      <c r="U59" s="15" t="s">
        <v>56</v>
      </c>
      <c r="V59" s="34">
        <v>2.8</v>
      </c>
      <c r="W59" s="15" t="s">
        <v>56</v>
      </c>
      <c r="X59" s="35">
        <v>3.1</v>
      </c>
      <c r="Y59" s="15" t="s">
        <v>56</v>
      </c>
      <c r="Z59" s="35">
        <v>3.6</v>
      </c>
      <c r="AA59" s="15" t="s">
        <v>56</v>
      </c>
      <c r="AB59" s="36">
        <v>3.3</v>
      </c>
      <c r="AC59" s="15" t="s">
        <v>56</v>
      </c>
      <c r="AD59" s="36">
        <v>3.4</v>
      </c>
      <c r="AE59" s="15" t="s">
        <v>56</v>
      </c>
      <c r="AF59" s="36">
        <v>3.3</v>
      </c>
      <c r="AG59" s="15" t="s">
        <v>56</v>
      </c>
      <c r="AH59" s="34">
        <v>3.09</v>
      </c>
      <c r="AI59" s="15" t="s">
        <v>56</v>
      </c>
      <c r="AJ59" s="37">
        <v>3.25</v>
      </c>
      <c r="AK59" s="15" t="s">
        <v>56</v>
      </c>
      <c r="AL59" s="34">
        <v>3.43</v>
      </c>
      <c r="AM59" s="15" t="s">
        <v>56</v>
      </c>
      <c r="AN59" s="37">
        <v>3.4</v>
      </c>
      <c r="AO59" s="15" t="s">
        <v>56</v>
      </c>
      <c r="AP59" s="37">
        <v>3.2</v>
      </c>
      <c r="AQ59" s="15" t="s">
        <v>56</v>
      </c>
    </row>
    <row r="60" spans="1:43" ht="15.75" customHeight="1">
      <c r="A60" s="21">
        <v>57</v>
      </c>
      <c r="B60" s="21">
        <v>6.6</v>
      </c>
      <c r="C60" s="21">
        <v>7.6</v>
      </c>
      <c r="D60" s="21"/>
      <c r="E60" s="21"/>
      <c r="F60" s="21"/>
      <c r="G60" s="44"/>
      <c r="H60" s="21" t="s">
        <v>111</v>
      </c>
      <c r="I60" s="21"/>
      <c r="K60" s="21"/>
      <c r="L60" s="21"/>
      <c r="M60" s="21"/>
      <c r="P60">
        <v>2.6</v>
      </c>
      <c r="Q60" s="21" t="s">
        <v>112</v>
      </c>
      <c r="R60">
        <v>3.2</v>
      </c>
      <c r="S60" s="21" t="s">
        <v>56</v>
      </c>
      <c r="T60" s="33">
        <v>3.3</v>
      </c>
      <c r="U60" s="15" t="s">
        <v>56</v>
      </c>
      <c r="V60" s="34">
        <v>3.1</v>
      </c>
      <c r="W60" s="15" t="s">
        <v>56</v>
      </c>
      <c r="X60" s="35">
        <v>3.6</v>
      </c>
      <c r="Y60" s="15" t="s">
        <v>56</v>
      </c>
      <c r="Z60" s="35">
        <v>3.4</v>
      </c>
      <c r="AA60" s="15" t="s">
        <v>56</v>
      </c>
      <c r="AB60" s="36">
        <v>3.5</v>
      </c>
      <c r="AC60" s="15" t="s">
        <v>56</v>
      </c>
      <c r="AD60" s="36">
        <v>2.4</v>
      </c>
      <c r="AE60" s="15" t="s">
        <v>56</v>
      </c>
      <c r="AF60" s="36">
        <v>3.35</v>
      </c>
      <c r="AG60" s="15" t="s">
        <v>56</v>
      </c>
      <c r="AH60" s="34">
        <v>3.11</v>
      </c>
      <c r="AI60" s="15" t="s">
        <v>56</v>
      </c>
      <c r="AJ60" s="37">
        <v>3.58</v>
      </c>
      <c r="AK60" s="15" t="s">
        <v>56</v>
      </c>
      <c r="AL60" s="34">
        <v>3.85</v>
      </c>
      <c r="AM60" s="15" t="s">
        <v>56</v>
      </c>
      <c r="AN60" s="37">
        <v>3.71</v>
      </c>
      <c r="AO60" s="15" t="s">
        <v>56</v>
      </c>
      <c r="AP60" s="37">
        <v>3.9</v>
      </c>
      <c r="AQ60" s="15" t="s">
        <v>56</v>
      </c>
    </row>
    <row r="61" spans="1:43" ht="15.75" customHeight="1">
      <c r="A61" s="21">
        <v>58</v>
      </c>
      <c r="B61" s="21">
        <v>3</v>
      </c>
      <c r="C61" s="21">
        <v>2.7</v>
      </c>
      <c r="D61" s="21"/>
      <c r="E61" s="21"/>
      <c r="F61" s="21"/>
      <c r="G61" s="44"/>
      <c r="H61" s="21" t="s">
        <v>111</v>
      </c>
      <c r="I61" s="21"/>
      <c r="K61" s="21"/>
      <c r="L61" s="21"/>
      <c r="M61" s="21"/>
      <c r="P61">
        <v>2.6</v>
      </c>
      <c r="Q61" s="21" t="s">
        <v>112</v>
      </c>
      <c r="R61">
        <v>3.3</v>
      </c>
      <c r="S61" s="21" t="s">
        <v>56</v>
      </c>
      <c r="T61" s="33">
        <v>3.7</v>
      </c>
      <c r="U61" s="15" t="s">
        <v>56</v>
      </c>
      <c r="V61" s="34">
        <v>3.7</v>
      </c>
      <c r="W61" s="15" t="s">
        <v>56</v>
      </c>
      <c r="X61" s="35">
        <v>3.2</v>
      </c>
      <c r="Y61" s="15" t="s">
        <v>56</v>
      </c>
      <c r="Z61" s="35">
        <v>3.1</v>
      </c>
      <c r="AA61" s="15" t="s">
        <v>56</v>
      </c>
      <c r="AB61" s="36">
        <v>3.3</v>
      </c>
      <c r="AC61" s="15" t="s">
        <v>56</v>
      </c>
      <c r="AD61" s="36">
        <v>2.9</v>
      </c>
      <c r="AE61" s="15" t="s">
        <v>56</v>
      </c>
      <c r="AF61" s="36">
        <v>3.44</v>
      </c>
      <c r="AG61" s="15" t="s">
        <v>56</v>
      </c>
      <c r="AH61" s="34">
        <v>3.23</v>
      </c>
      <c r="AI61" s="15" t="s">
        <v>56</v>
      </c>
      <c r="AJ61" s="37">
        <v>3.27</v>
      </c>
      <c r="AK61" s="15" t="s">
        <v>56</v>
      </c>
      <c r="AL61" s="34">
        <v>3.28</v>
      </c>
      <c r="AM61" s="15" t="s">
        <v>56</v>
      </c>
      <c r="AN61" s="37">
        <v>3.24</v>
      </c>
      <c r="AO61" s="15" t="s">
        <v>56</v>
      </c>
      <c r="AP61" s="37">
        <v>3.3</v>
      </c>
      <c r="AQ61" s="15" t="s">
        <v>56</v>
      </c>
    </row>
    <row r="62" spans="1:43" ht="15.75" customHeight="1">
      <c r="A62" s="21">
        <v>59</v>
      </c>
      <c r="B62" s="21">
        <v>6.8</v>
      </c>
      <c r="C62" s="21">
        <v>7.6</v>
      </c>
      <c r="D62" s="21"/>
      <c r="E62" s="21"/>
      <c r="F62" s="21"/>
      <c r="G62" s="44"/>
      <c r="H62" s="21" t="s">
        <v>111</v>
      </c>
      <c r="I62" s="21"/>
      <c r="K62" s="21"/>
      <c r="L62" s="21"/>
      <c r="M62" s="21"/>
      <c r="P62">
        <v>2.6</v>
      </c>
      <c r="Q62" s="21" t="s">
        <v>112</v>
      </c>
      <c r="R62">
        <v>2.6</v>
      </c>
      <c r="S62" s="21" t="s">
        <v>56</v>
      </c>
      <c r="T62" s="33">
        <v>3</v>
      </c>
      <c r="U62" s="15" t="s">
        <v>56</v>
      </c>
      <c r="V62" s="34">
        <v>2.9</v>
      </c>
      <c r="W62" s="15" t="s">
        <v>56</v>
      </c>
      <c r="X62" s="35">
        <v>3.1</v>
      </c>
      <c r="Y62" s="15" t="s">
        <v>56</v>
      </c>
      <c r="Z62" s="35">
        <v>2.9</v>
      </c>
      <c r="AA62" s="15" t="s">
        <v>56</v>
      </c>
      <c r="AB62" s="36">
        <v>3.4</v>
      </c>
      <c r="AC62" s="15" t="s">
        <v>56</v>
      </c>
      <c r="AD62" s="36">
        <v>2.7</v>
      </c>
      <c r="AE62" s="15" t="s">
        <v>56</v>
      </c>
      <c r="AF62" s="36">
        <v>3.05</v>
      </c>
      <c r="AG62" s="15" t="s">
        <v>56</v>
      </c>
      <c r="AH62" s="34">
        <v>2.73</v>
      </c>
      <c r="AI62" s="15" t="s">
        <v>56</v>
      </c>
      <c r="AJ62" s="37">
        <v>3.14</v>
      </c>
      <c r="AK62" s="15" t="s">
        <v>56</v>
      </c>
      <c r="AL62" s="34">
        <v>3.33</v>
      </c>
      <c r="AM62" s="15" t="s">
        <v>56</v>
      </c>
      <c r="AN62" s="37">
        <v>3.28</v>
      </c>
      <c r="AO62" s="15" t="s">
        <v>56</v>
      </c>
      <c r="AP62" s="37">
        <v>3.5</v>
      </c>
      <c r="AQ62" s="15" t="s">
        <v>56</v>
      </c>
    </row>
    <row r="63" spans="1:43" ht="15.75" customHeight="1">
      <c r="A63" s="21">
        <v>60</v>
      </c>
      <c r="B63" s="21">
        <v>3.1</v>
      </c>
      <c r="C63" s="21">
        <v>2.5</v>
      </c>
      <c r="D63" s="21"/>
      <c r="E63" s="21"/>
      <c r="F63" s="21"/>
      <c r="G63" s="44"/>
      <c r="H63" s="21" t="s">
        <v>111</v>
      </c>
      <c r="I63" s="21"/>
      <c r="K63" s="21"/>
      <c r="L63" s="21"/>
      <c r="M63" s="21"/>
      <c r="P63">
        <v>2.6</v>
      </c>
      <c r="Q63" s="21" t="s">
        <v>112</v>
      </c>
      <c r="R63">
        <v>3.6</v>
      </c>
      <c r="S63" s="21" t="s">
        <v>56</v>
      </c>
      <c r="T63" s="33">
        <v>2.9</v>
      </c>
      <c r="U63" s="15" t="s">
        <v>56</v>
      </c>
      <c r="V63" s="34">
        <v>3.2</v>
      </c>
      <c r="W63" s="15" t="s">
        <v>56</v>
      </c>
      <c r="X63" s="35">
        <v>3.3</v>
      </c>
      <c r="Y63" s="15" t="s">
        <v>56</v>
      </c>
      <c r="Z63" s="35">
        <v>3.2</v>
      </c>
      <c r="AA63" s="15" t="s">
        <v>56</v>
      </c>
      <c r="AB63" s="36">
        <v>3.2</v>
      </c>
      <c r="AC63" s="15" t="s">
        <v>56</v>
      </c>
      <c r="AD63" s="36">
        <v>3.5</v>
      </c>
      <c r="AE63" s="15" t="s">
        <v>56</v>
      </c>
      <c r="AF63" s="36">
        <v>3.72</v>
      </c>
      <c r="AG63" s="15" t="s">
        <v>56</v>
      </c>
      <c r="AH63" s="34">
        <v>3.36</v>
      </c>
      <c r="AI63" s="15" t="s">
        <v>56</v>
      </c>
      <c r="AJ63" s="37">
        <v>3.48</v>
      </c>
      <c r="AK63" s="15" t="s">
        <v>56</v>
      </c>
      <c r="AL63" s="34">
        <v>3.15</v>
      </c>
      <c r="AM63" s="15" t="s">
        <v>56</v>
      </c>
      <c r="AN63" s="37">
        <v>3.77</v>
      </c>
      <c r="AO63" s="15" t="s">
        <v>56</v>
      </c>
      <c r="AP63" s="37">
        <v>4</v>
      </c>
      <c r="AQ63" s="15" t="s">
        <v>56</v>
      </c>
    </row>
    <row r="64" spans="1:43" ht="15.75" customHeight="1">
      <c r="A64" s="21">
        <v>61</v>
      </c>
      <c r="B64" s="21">
        <v>8.9</v>
      </c>
      <c r="C64" s="38">
        <v>9.1999999999999993</v>
      </c>
      <c r="D64" s="38"/>
      <c r="E64" s="38"/>
      <c r="F64" s="38"/>
      <c r="G64" s="44"/>
      <c r="H64" s="21" t="s">
        <v>111</v>
      </c>
      <c r="I64" s="21"/>
      <c r="K64" s="21"/>
      <c r="L64" s="21"/>
      <c r="M64" s="21"/>
      <c r="P64">
        <v>6.2</v>
      </c>
      <c r="Q64" s="21" t="s">
        <v>112</v>
      </c>
      <c r="R64">
        <v>5.7</v>
      </c>
      <c r="S64" s="21" t="s">
        <v>56</v>
      </c>
      <c r="T64" s="33">
        <v>3</v>
      </c>
      <c r="U64" s="15" t="s">
        <v>56</v>
      </c>
      <c r="V64" s="34">
        <v>3.1</v>
      </c>
      <c r="W64" s="15" t="s">
        <v>56</v>
      </c>
      <c r="X64" s="35">
        <v>2.5</v>
      </c>
      <c r="Y64" s="15" t="s">
        <v>56</v>
      </c>
      <c r="Z64" s="35">
        <v>5.7</v>
      </c>
      <c r="AA64" s="15" t="s">
        <v>56</v>
      </c>
      <c r="AB64" s="36">
        <v>6.3</v>
      </c>
      <c r="AC64" s="15" t="s">
        <v>56</v>
      </c>
      <c r="AD64" s="36">
        <v>3.2</v>
      </c>
      <c r="AE64" s="15" t="s">
        <v>56</v>
      </c>
      <c r="AF64" s="36">
        <v>3.22</v>
      </c>
      <c r="AG64" s="15" t="s">
        <v>56</v>
      </c>
      <c r="AH64" s="34">
        <v>3</v>
      </c>
      <c r="AI64" s="15" t="s">
        <v>56</v>
      </c>
      <c r="AJ64" s="37">
        <v>7</v>
      </c>
      <c r="AK64" s="15" t="s">
        <v>56</v>
      </c>
      <c r="AL64" s="34">
        <v>6.98</v>
      </c>
      <c r="AM64" s="15" t="s">
        <v>56</v>
      </c>
      <c r="AN64" s="37">
        <v>7.42</v>
      </c>
      <c r="AO64" s="15" t="s">
        <v>56</v>
      </c>
      <c r="AP64" s="37">
        <v>8</v>
      </c>
      <c r="AQ64" s="15" t="s">
        <v>56</v>
      </c>
    </row>
    <row r="65" spans="1:43" ht="15.75" customHeight="1">
      <c r="A65" s="21">
        <v>62</v>
      </c>
      <c r="B65" s="21">
        <v>7.5</v>
      </c>
      <c r="C65" s="21">
        <v>7.8</v>
      </c>
      <c r="D65" s="21"/>
      <c r="E65" s="21"/>
      <c r="F65" s="21"/>
      <c r="G65" s="44"/>
      <c r="H65" s="21" t="s">
        <v>111</v>
      </c>
      <c r="I65" s="21"/>
      <c r="K65" s="21"/>
      <c r="L65" s="21"/>
      <c r="M65" s="21"/>
      <c r="P65">
        <v>2.5</v>
      </c>
      <c r="Q65" s="21" t="s">
        <v>112</v>
      </c>
      <c r="R65">
        <v>3.1</v>
      </c>
      <c r="S65" s="21" t="s">
        <v>56</v>
      </c>
      <c r="T65" s="33">
        <v>5.6</v>
      </c>
      <c r="U65" s="15" t="s">
        <v>56</v>
      </c>
      <c r="V65" s="34">
        <v>6.3</v>
      </c>
      <c r="W65" s="15" t="s">
        <v>56</v>
      </c>
      <c r="X65" s="35">
        <v>2.9</v>
      </c>
      <c r="Y65" s="15" t="s">
        <v>56</v>
      </c>
      <c r="Z65" s="35">
        <v>3.1</v>
      </c>
      <c r="AA65" s="15" t="s">
        <v>56</v>
      </c>
      <c r="AB65" s="36">
        <v>3.4</v>
      </c>
      <c r="AC65" s="15" t="s">
        <v>56</v>
      </c>
      <c r="AD65" s="36">
        <v>3</v>
      </c>
      <c r="AE65" s="15" t="s">
        <v>56</v>
      </c>
      <c r="AF65" s="36">
        <v>3.47</v>
      </c>
      <c r="AG65" s="15" t="s">
        <v>56</v>
      </c>
      <c r="AH65" s="34">
        <v>3</v>
      </c>
      <c r="AI65" s="15" t="s">
        <v>56</v>
      </c>
      <c r="AJ65" s="37">
        <v>3.22</v>
      </c>
      <c r="AK65" s="15" t="s">
        <v>56</v>
      </c>
      <c r="AL65" s="34">
        <v>3.35</v>
      </c>
      <c r="AM65" s="15" t="s">
        <v>56</v>
      </c>
      <c r="AN65" s="37">
        <v>3.33</v>
      </c>
      <c r="AO65" s="15" t="s">
        <v>56</v>
      </c>
      <c r="AP65" s="37">
        <v>2.4</v>
      </c>
      <c r="AQ65" s="15" t="s">
        <v>56</v>
      </c>
    </row>
    <row r="66" spans="1:43" ht="15.75" customHeight="1">
      <c r="A66" s="21">
        <v>63</v>
      </c>
      <c r="B66" s="21">
        <v>6.5</v>
      </c>
      <c r="C66" s="21">
        <v>6.8</v>
      </c>
      <c r="D66" s="21"/>
      <c r="E66" s="21"/>
      <c r="F66" s="21"/>
      <c r="G66" s="44"/>
      <c r="H66" s="21" t="s">
        <v>111</v>
      </c>
      <c r="I66" s="21"/>
      <c r="K66" s="21"/>
      <c r="L66" s="21"/>
      <c r="M66" s="21"/>
      <c r="P66">
        <v>2.7</v>
      </c>
      <c r="Q66" s="21" t="s">
        <v>112</v>
      </c>
      <c r="R66">
        <v>3.3</v>
      </c>
      <c r="S66" s="21" t="s">
        <v>56</v>
      </c>
      <c r="T66" s="33">
        <v>3.5</v>
      </c>
      <c r="U66" s="15" t="s">
        <v>56</v>
      </c>
      <c r="V66" s="34">
        <v>2.9</v>
      </c>
      <c r="W66" s="15" t="s">
        <v>56</v>
      </c>
      <c r="X66" s="35">
        <v>2.8</v>
      </c>
      <c r="Y66" s="15" t="s">
        <v>56</v>
      </c>
      <c r="Z66" s="35">
        <v>3.2</v>
      </c>
      <c r="AA66" s="15" t="s">
        <v>56</v>
      </c>
      <c r="AB66" s="36">
        <v>3.4</v>
      </c>
      <c r="AC66" s="15" t="s">
        <v>56</v>
      </c>
      <c r="AD66" s="36">
        <v>3.2</v>
      </c>
      <c r="AE66" s="15" t="s">
        <v>56</v>
      </c>
      <c r="AF66" s="36">
        <v>3.37</v>
      </c>
      <c r="AG66" s="15" t="s">
        <v>56</v>
      </c>
      <c r="AH66" s="34">
        <v>3.24</v>
      </c>
      <c r="AI66" s="15" t="s">
        <v>56</v>
      </c>
      <c r="AJ66" s="37">
        <v>3.3</v>
      </c>
      <c r="AK66" s="15" t="s">
        <v>56</v>
      </c>
      <c r="AL66" s="34">
        <v>3.55</v>
      </c>
      <c r="AM66" s="15" t="s">
        <v>56</v>
      </c>
      <c r="AN66" s="37">
        <v>3.47</v>
      </c>
      <c r="AO66" s="15" t="s">
        <v>56</v>
      </c>
      <c r="AP66" s="37">
        <v>2.7</v>
      </c>
      <c r="AQ66" s="15" t="s">
        <v>56</v>
      </c>
    </row>
    <row r="67" spans="1:43" ht="15.75" customHeight="1">
      <c r="A67" s="21">
        <v>64</v>
      </c>
      <c r="B67" s="21">
        <v>6.2</v>
      </c>
      <c r="C67" s="21">
        <v>7.4</v>
      </c>
      <c r="D67" s="21"/>
      <c r="E67" s="21"/>
      <c r="F67" s="21"/>
      <c r="G67" s="44"/>
      <c r="H67" s="21" t="s">
        <v>111</v>
      </c>
      <c r="I67" s="21"/>
      <c r="K67" s="21"/>
      <c r="L67" s="21"/>
      <c r="M67" s="21"/>
      <c r="P67">
        <v>2.6</v>
      </c>
      <c r="Q67" s="21" t="s">
        <v>112</v>
      </c>
      <c r="R67">
        <v>2.6</v>
      </c>
      <c r="S67" s="21" t="s">
        <v>56</v>
      </c>
      <c r="T67" s="33">
        <v>3</v>
      </c>
      <c r="U67" s="15" t="s">
        <v>56</v>
      </c>
      <c r="V67" s="34">
        <v>3.3</v>
      </c>
      <c r="W67" s="15" t="s">
        <v>56</v>
      </c>
      <c r="X67" s="35">
        <v>3.5</v>
      </c>
      <c r="Y67" s="15" t="s">
        <v>56</v>
      </c>
      <c r="Z67" s="35">
        <v>3.3</v>
      </c>
      <c r="AA67" s="15" t="s">
        <v>56</v>
      </c>
      <c r="AB67" s="36">
        <v>3.4</v>
      </c>
      <c r="AC67" s="15" t="s">
        <v>56</v>
      </c>
      <c r="AD67" s="36">
        <v>6.1</v>
      </c>
      <c r="AE67" s="15" t="s">
        <v>56</v>
      </c>
      <c r="AF67" s="36">
        <v>3.42</v>
      </c>
      <c r="AG67" s="15" t="s">
        <v>56</v>
      </c>
      <c r="AH67" s="34">
        <v>3.74</v>
      </c>
      <c r="AI67" s="15" t="s">
        <v>56</v>
      </c>
      <c r="AJ67" s="37">
        <v>3.35</v>
      </c>
      <c r="AK67" s="15" t="s">
        <v>56</v>
      </c>
      <c r="AL67" s="34">
        <v>3.48</v>
      </c>
      <c r="AM67" s="15" t="s">
        <v>56</v>
      </c>
      <c r="AN67" s="37">
        <v>3.59</v>
      </c>
      <c r="AO67" s="15" t="s">
        <v>56</v>
      </c>
      <c r="AP67" s="37">
        <v>2.7</v>
      </c>
      <c r="AQ67" s="15" t="s">
        <v>56</v>
      </c>
    </row>
    <row r="68" spans="1:43" ht="15.75" customHeight="1">
      <c r="D68" s="21"/>
      <c r="E68" s="21"/>
      <c r="F68" s="21"/>
      <c r="I68" s="21"/>
      <c r="K68" s="21"/>
      <c r="L68" s="21"/>
      <c r="M68" s="21"/>
    </row>
    <row r="69" spans="1:43" ht="15.75" customHeight="1">
      <c r="D69" s="21"/>
      <c r="E69" s="21"/>
      <c r="F69" s="21"/>
      <c r="I69" s="21"/>
      <c r="K69" s="21"/>
      <c r="L69" s="21"/>
      <c r="M69" s="21"/>
      <c r="AJ69">
        <f>COUNTIF(AJ4:AJ67,"&lt;=9")</f>
        <v>64</v>
      </c>
      <c r="AK69" s="15" t="s">
        <v>56</v>
      </c>
      <c r="AL69">
        <f>COUNTIF(AL4:AL67,"&lt;=9")</f>
        <v>64</v>
      </c>
      <c r="AM69" s="15" t="s">
        <v>56</v>
      </c>
      <c r="AN69">
        <f>COUNTIF(AN4:AN67,"&lt;=9")</f>
        <v>64</v>
      </c>
      <c r="AO69" s="15" t="s">
        <v>56</v>
      </c>
      <c r="AP69">
        <f>COUNTIF(AP4:AP67,"&lt;=9")</f>
        <v>64</v>
      </c>
      <c r="AQ69" s="15" t="s">
        <v>56</v>
      </c>
    </row>
    <row r="70" spans="1:43" ht="15.75" customHeight="1">
      <c r="D70" s="21"/>
      <c r="E70" s="21"/>
      <c r="F70" s="21"/>
      <c r="I70" s="21"/>
      <c r="K70" s="21"/>
      <c r="L70" s="21"/>
      <c r="M70" s="21"/>
      <c r="AJ70">
        <f>64-(AJ69+AJ71)</f>
        <v>0</v>
      </c>
      <c r="AK70" s="46" t="s">
        <v>58</v>
      </c>
      <c r="AL70">
        <f>64-(AL69+AL71)</f>
        <v>0</v>
      </c>
      <c r="AM70" s="46" t="s">
        <v>58</v>
      </c>
      <c r="AN70">
        <f>64-(AN69+AN71)</f>
        <v>0</v>
      </c>
      <c r="AO70" s="46" t="s">
        <v>58</v>
      </c>
      <c r="AP70">
        <f>64-(AP69+AP71)</f>
        <v>0</v>
      </c>
      <c r="AQ70" s="46" t="s">
        <v>58</v>
      </c>
    </row>
    <row r="71" spans="1:43" ht="15.75" customHeight="1">
      <c r="D71" s="21"/>
      <c r="E71" s="21"/>
      <c r="F71" s="21"/>
      <c r="I71" s="21"/>
      <c r="K71" s="21"/>
      <c r="L71" s="21"/>
      <c r="M71" s="21"/>
      <c r="AJ71">
        <f>COUNTIF(AJ4:AJ67,"&gt;12")</f>
        <v>0</v>
      </c>
      <c r="AK71" s="47" t="s">
        <v>60</v>
      </c>
      <c r="AL71">
        <f>COUNTIF(AL4:AL67,"&gt;12")</f>
        <v>0</v>
      </c>
      <c r="AM71" s="47" t="s">
        <v>60</v>
      </c>
      <c r="AN71">
        <f>COUNTIF(AN4:AN67,"&gt;12")</f>
        <v>0</v>
      </c>
      <c r="AO71" s="47" t="s">
        <v>60</v>
      </c>
      <c r="AP71">
        <f>COUNTIF(AP4:AP67,"&gt;12")</f>
        <v>0</v>
      </c>
      <c r="AQ71" s="47" t="s">
        <v>60</v>
      </c>
    </row>
    <row r="72" spans="1:43" ht="15.75" customHeight="1">
      <c r="D72" s="21"/>
      <c r="E72" s="21"/>
      <c r="F72" s="21"/>
      <c r="I72" s="21"/>
      <c r="K72" s="21"/>
      <c r="L72" s="21"/>
      <c r="M72" s="21"/>
      <c r="AJ72">
        <f>AJ70+AJ71</f>
        <v>0</v>
      </c>
      <c r="AK72" s="15" t="s">
        <v>113</v>
      </c>
      <c r="AL72">
        <f>AL70+AL71</f>
        <v>0</v>
      </c>
      <c r="AM72" s="15" t="s">
        <v>113</v>
      </c>
      <c r="AN72">
        <f>AN70+AN71</f>
        <v>0</v>
      </c>
      <c r="AO72" s="15" t="s">
        <v>113</v>
      </c>
      <c r="AP72">
        <f>AP70+AP71</f>
        <v>0</v>
      </c>
      <c r="AQ72" s="15" t="s">
        <v>113</v>
      </c>
    </row>
    <row r="73" spans="1:43" ht="15.75" customHeight="1">
      <c r="D73" s="21"/>
      <c r="E73" s="21"/>
      <c r="F73" s="21"/>
      <c r="I73" s="21"/>
      <c r="K73" s="21"/>
      <c r="L73" s="21"/>
      <c r="M73" s="21"/>
    </row>
    <row r="74" spans="1:43" ht="15.75" customHeight="1">
      <c r="D74" s="21"/>
      <c r="E74" s="21"/>
      <c r="F74" s="21"/>
      <c r="I74" s="21"/>
      <c r="K74" s="21"/>
      <c r="L74" s="21"/>
      <c r="M74" s="21"/>
    </row>
    <row r="75" spans="1:43" ht="15.75" customHeight="1">
      <c r="D75" s="21"/>
      <c r="E75" s="21"/>
      <c r="F75" s="21"/>
      <c r="I75" s="21"/>
      <c r="K75" s="21"/>
      <c r="L75" s="21"/>
      <c r="M75" s="21"/>
    </row>
    <row r="76" spans="1:43" ht="15.75" customHeight="1">
      <c r="D76" s="21"/>
      <c r="E76" s="21"/>
      <c r="F76" s="21"/>
      <c r="I76" s="21"/>
      <c r="K76" s="21"/>
      <c r="L76" s="21"/>
      <c r="M76" s="21"/>
    </row>
    <row r="77" spans="1:43" ht="15.75" customHeight="1">
      <c r="D77" s="21"/>
      <c r="E77" s="21"/>
      <c r="F77" s="21"/>
      <c r="I77" s="21"/>
      <c r="K77" s="21"/>
      <c r="L77" s="21"/>
      <c r="M77" s="21"/>
    </row>
    <row r="78" spans="1:43" ht="15.75" customHeight="1">
      <c r="D78" s="21"/>
      <c r="E78" s="21"/>
      <c r="F78" s="21"/>
      <c r="I78" s="21"/>
      <c r="K78" s="21"/>
      <c r="L78" s="21"/>
      <c r="M78" s="21"/>
    </row>
    <row r="79" spans="1:43" ht="15.75" customHeight="1">
      <c r="D79" s="21"/>
      <c r="E79" s="21"/>
      <c r="F79" s="21"/>
      <c r="I79" s="21"/>
      <c r="K79" s="21"/>
      <c r="L79" s="21"/>
      <c r="M79" s="21"/>
    </row>
    <row r="80" spans="1:43" ht="15.75" customHeight="1">
      <c r="D80" s="21"/>
      <c r="E80" s="21"/>
      <c r="F80" s="21"/>
      <c r="I80" s="21"/>
      <c r="K80" s="21"/>
      <c r="L80" s="21"/>
      <c r="M80" s="21"/>
    </row>
    <row r="81" spans="4:13" ht="15.75" customHeight="1">
      <c r="D81" s="21"/>
      <c r="E81" s="21"/>
      <c r="F81" s="21"/>
      <c r="I81" s="21"/>
      <c r="K81" s="21"/>
      <c r="L81" s="21"/>
      <c r="M81" s="21"/>
    </row>
    <row r="82" spans="4:13" ht="15.75" customHeight="1">
      <c r="D82" s="21"/>
      <c r="E82" s="21"/>
      <c r="F82" s="21"/>
      <c r="I82" s="21"/>
      <c r="K82" s="21"/>
      <c r="L82" s="21"/>
      <c r="M82" s="21"/>
    </row>
    <row r="83" spans="4:13" ht="15.75" customHeight="1">
      <c r="D83" s="21"/>
      <c r="E83" s="21"/>
      <c r="F83" s="21"/>
      <c r="I83" s="21"/>
      <c r="K83" s="21"/>
      <c r="L83" s="21"/>
      <c r="M83" s="21"/>
    </row>
    <row r="84" spans="4:13" ht="15.75" customHeight="1">
      <c r="D84" s="21"/>
      <c r="E84" s="21"/>
      <c r="F84" s="21"/>
      <c r="I84" s="21"/>
      <c r="K84" s="21"/>
      <c r="L84" s="21"/>
      <c r="M84" s="21"/>
    </row>
    <row r="85" spans="4:13" ht="15.75" customHeight="1">
      <c r="D85" s="21"/>
      <c r="E85" s="21"/>
      <c r="F85" s="21"/>
      <c r="I85" s="21"/>
      <c r="K85" s="21"/>
      <c r="L85" s="21"/>
      <c r="M85" s="21"/>
    </row>
    <row r="86" spans="4:13" ht="15.75" customHeight="1">
      <c r="D86" s="21"/>
      <c r="E86" s="21"/>
      <c r="F86" s="21"/>
      <c r="I86" s="21"/>
      <c r="K86" s="21"/>
      <c r="L86" s="21"/>
      <c r="M86" s="21"/>
    </row>
    <row r="87" spans="4:13" ht="15.75" customHeight="1">
      <c r="D87" s="21"/>
      <c r="E87" s="21"/>
      <c r="F87" s="21"/>
      <c r="I87" s="21"/>
      <c r="K87" s="21"/>
      <c r="L87" s="21"/>
      <c r="M87" s="21"/>
    </row>
    <row r="88" spans="4:13" ht="15.75" customHeight="1">
      <c r="D88" s="21"/>
      <c r="E88" s="21"/>
      <c r="F88" s="21"/>
      <c r="I88" s="21"/>
      <c r="K88" s="21"/>
      <c r="L88" s="21"/>
      <c r="M88" s="21"/>
    </row>
    <row r="89" spans="4:13" ht="15.75" customHeight="1">
      <c r="D89" s="21"/>
      <c r="E89" s="21"/>
      <c r="F89" s="21"/>
      <c r="I89" s="21"/>
      <c r="K89" s="21"/>
      <c r="L89" s="21"/>
      <c r="M89" s="21"/>
    </row>
    <row r="90" spans="4:13" ht="15.75" customHeight="1">
      <c r="D90" s="21"/>
      <c r="E90" s="21"/>
      <c r="F90" s="21"/>
      <c r="I90" s="21"/>
      <c r="K90" s="21"/>
      <c r="L90" s="21"/>
      <c r="M90" s="21"/>
    </row>
    <row r="91" spans="4:13" ht="15.75" customHeight="1">
      <c r="D91" s="21"/>
      <c r="E91" s="21"/>
      <c r="F91" s="21"/>
      <c r="I91" s="21"/>
      <c r="K91" s="21"/>
      <c r="L91" s="21"/>
      <c r="M91" s="21"/>
    </row>
    <row r="92" spans="4:13" ht="15.75" customHeight="1">
      <c r="D92" s="21"/>
      <c r="E92" s="21"/>
      <c r="F92" s="21"/>
      <c r="I92" s="21"/>
      <c r="K92" s="21"/>
      <c r="L92" s="21"/>
      <c r="M92" s="21"/>
    </row>
    <row r="93" spans="4:13" ht="15.75" customHeight="1">
      <c r="D93" s="21"/>
      <c r="E93" s="21"/>
      <c r="F93" s="21"/>
      <c r="I93" s="21"/>
      <c r="K93" s="21"/>
      <c r="L93" s="21"/>
      <c r="M93" s="21"/>
    </row>
    <row r="94" spans="4:13" ht="15.75" customHeight="1">
      <c r="D94" s="21"/>
      <c r="E94" s="21"/>
      <c r="F94" s="21"/>
      <c r="I94" s="21"/>
      <c r="K94" s="21"/>
      <c r="L94" s="21"/>
      <c r="M94" s="21"/>
    </row>
    <row r="95" spans="4:13" ht="15.75" customHeight="1">
      <c r="D95" s="21"/>
      <c r="E95" s="21"/>
      <c r="F95" s="21"/>
      <c r="I95" s="21"/>
      <c r="K95" s="21"/>
      <c r="L95" s="21"/>
      <c r="M95" s="21"/>
    </row>
    <row r="96" spans="4:13" ht="15.75" customHeight="1">
      <c r="D96" s="21"/>
      <c r="E96" s="21"/>
      <c r="F96" s="21"/>
      <c r="I96" s="21"/>
      <c r="K96" s="21"/>
      <c r="L96" s="21"/>
      <c r="M96" s="21"/>
    </row>
    <row r="97" spans="4:13" ht="15.75" customHeight="1">
      <c r="D97" s="21"/>
      <c r="E97" s="21"/>
      <c r="F97" s="21"/>
      <c r="I97" s="21"/>
      <c r="K97" s="21"/>
      <c r="L97" s="21"/>
      <c r="M97" s="21"/>
    </row>
    <row r="98" spans="4:13" ht="15.75" customHeight="1">
      <c r="D98" s="21"/>
      <c r="E98" s="21"/>
      <c r="F98" s="21"/>
      <c r="I98" s="21"/>
      <c r="K98" s="21"/>
      <c r="L98" s="21"/>
      <c r="M98" s="21"/>
    </row>
    <row r="99" spans="4:13" ht="15.75" customHeight="1">
      <c r="D99" s="21"/>
      <c r="E99" s="21"/>
      <c r="F99" s="21"/>
      <c r="I99" s="21"/>
      <c r="K99" s="21"/>
      <c r="L99" s="21"/>
      <c r="M99" s="21"/>
    </row>
    <row r="100" spans="4:13" ht="15.75" customHeight="1">
      <c r="D100" s="21"/>
      <c r="E100" s="21"/>
      <c r="F100" s="21"/>
      <c r="I100" s="21"/>
      <c r="K100" s="21"/>
      <c r="L100" s="21"/>
      <c r="M100" s="21"/>
    </row>
    <row r="101" spans="4:13" ht="15.75" customHeight="1">
      <c r="D101" s="21"/>
      <c r="E101" s="21"/>
      <c r="F101" s="21"/>
      <c r="I101" s="21"/>
      <c r="K101" s="21"/>
      <c r="L101" s="21"/>
      <c r="M101" s="21"/>
    </row>
    <row r="102" spans="4:13" ht="15.75" customHeight="1">
      <c r="D102" s="21"/>
      <c r="E102" s="21"/>
      <c r="F102" s="21"/>
      <c r="I102" s="21"/>
      <c r="K102" s="21"/>
      <c r="L102" s="21"/>
      <c r="M102" s="21"/>
    </row>
    <row r="103" spans="4:13" ht="15.75" customHeight="1">
      <c r="D103" s="21"/>
      <c r="E103" s="21"/>
      <c r="F103" s="21"/>
      <c r="I103" s="21"/>
      <c r="K103" s="21"/>
      <c r="L103" s="21"/>
      <c r="M103" s="21"/>
    </row>
    <row r="104" spans="4:13" ht="15.75" customHeight="1">
      <c r="D104" s="21"/>
      <c r="E104" s="21"/>
      <c r="F104" s="21"/>
      <c r="I104" s="21"/>
      <c r="K104" s="21"/>
      <c r="L104" s="21"/>
      <c r="M104" s="21"/>
    </row>
    <row r="105" spans="4:13" ht="15.75" customHeight="1">
      <c r="D105" s="21"/>
      <c r="E105" s="21"/>
      <c r="F105" s="21"/>
      <c r="I105" s="21"/>
      <c r="K105" s="21"/>
      <c r="L105" s="21"/>
      <c r="M105" s="21"/>
    </row>
    <row r="106" spans="4:13" ht="15.75" customHeight="1">
      <c r="D106" s="21"/>
      <c r="E106" s="21"/>
      <c r="F106" s="21"/>
      <c r="I106" s="21"/>
      <c r="K106" s="21"/>
      <c r="L106" s="21"/>
      <c r="M106" s="21"/>
    </row>
    <row r="107" spans="4:13" ht="15.75" customHeight="1">
      <c r="D107" s="21"/>
      <c r="E107" s="21"/>
      <c r="F107" s="21"/>
      <c r="I107" s="21"/>
      <c r="K107" s="21"/>
      <c r="L107" s="21"/>
      <c r="M107" s="21"/>
    </row>
    <row r="108" spans="4:13" ht="15.75" customHeight="1">
      <c r="D108" s="21"/>
      <c r="E108" s="21"/>
      <c r="F108" s="21"/>
      <c r="I108" s="21"/>
      <c r="K108" s="21"/>
      <c r="L108" s="21"/>
      <c r="M108" s="21"/>
    </row>
    <row r="109" spans="4:13" ht="15.75" customHeight="1">
      <c r="D109" s="21"/>
      <c r="E109" s="21"/>
      <c r="F109" s="21"/>
      <c r="I109" s="21"/>
      <c r="K109" s="21"/>
      <c r="L109" s="21"/>
      <c r="M109" s="21"/>
    </row>
    <row r="110" spans="4:13" ht="15.75" customHeight="1">
      <c r="D110" s="21"/>
      <c r="E110" s="21"/>
      <c r="F110" s="21"/>
      <c r="I110" s="21"/>
      <c r="K110" s="21"/>
      <c r="L110" s="21"/>
      <c r="M110" s="21"/>
    </row>
    <row r="111" spans="4:13" ht="15.75" customHeight="1">
      <c r="D111" s="21"/>
      <c r="E111" s="21"/>
      <c r="F111" s="21"/>
      <c r="I111" s="21"/>
      <c r="K111" s="21"/>
      <c r="L111" s="21"/>
      <c r="M111" s="21"/>
    </row>
    <row r="112" spans="4:13" ht="15.75" customHeight="1">
      <c r="D112" s="21"/>
      <c r="E112" s="21"/>
      <c r="F112" s="21"/>
      <c r="I112" s="21"/>
      <c r="K112" s="21"/>
      <c r="L112" s="21"/>
      <c r="M112" s="21"/>
    </row>
    <row r="113" spans="4:13" ht="15.75" customHeight="1">
      <c r="D113" s="21"/>
      <c r="E113" s="21"/>
      <c r="F113" s="21"/>
      <c r="I113" s="21"/>
      <c r="K113" s="21"/>
      <c r="L113" s="21"/>
      <c r="M113" s="21"/>
    </row>
    <row r="114" spans="4:13" ht="15.75" customHeight="1">
      <c r="D114" s="21"/>
      <c r="E114" s="21"/>
      <c r="F114" s="21"/>
      <c r="I114" s="21"/>
      <c r="K114" s="21"/>
      <c r="L114" s="21"/>
      <c r="M114" s="21"/>
    </row>
    <row r="115" spans="4:13" ht="15.75" customHeight="1">
      <c r="D115" s="21"/>
      <c r="E115" s="21"/>
      <c r="F115" s="21"/>
      <c r="I115" s="21"/>
      <c r="K115" s="21"/>
      <c r="L115" s="21"/>
      <c r="M115" s="21"/>
    </row>
    <row r="116" spans="4:13" ht="15.75" customHeight="1">
      <c r="D116" s="21"/>
      <c r="E116" s="21"/>
      <c r="F116" s="21"/>
      <c r="I116" s="21"/>
      <c r="K116" s="21"/>
      <c r="L116" s="21"/>
      <c r="M116" s="21"/>
    </row>
    <row r="117" spans="4:13" ht="15.75" customHeight="1">
      <c r="D117" s="21"/>
      <c r="E117" s="21"/>
      <c r="F117" s="21"/>
      <c r="I117" s="21"/>
      <c r="K117" s="21"/>
      <c r="L117" s="21"/>
      <c r="M117" s="21"/>
    </row>
    <row r="118" spans="4:13" ht="15.75" customHeight="1">
      <c r="D118" s="21"/>
      <c r="E118" s="21"/>
      <c r="F118" s="21"/>
      <c r="I118" s="21"/>
      <c r="K118" s="21"/>
      <c r="L118" s="21"/>
      <c r="M118" s="21"/>
    </row>
    <row r="119" spans="4:13" ht="15.75" customHeight="1">
      <c r="D119" s="21"/>
      <c r="E119" s="21"/>
      <c r="F119" s="21"/>
      <c r="I119" s="21"/>
      <c r="K119" s="21"/>
      <c r="L119" s="21"/>
      <c r="M119" s="21"/>
    </row>
    <row r="120" spans="4:13" ht="15.75" customHeight="1">
      <c r="D120" s="21"/>
      <c r="E120" s="21"/>
      <c r="F120" s="21"/>
      <c r="I120" s="21"/>
      <c r="K120" s="21"/>
      <c r="L120" s="21"/>
      <c r="M120" s="21"/>
    </row>
    <row r="121" spans="4:13" ht="15.75" customHeight="1">
      <c r="D121" s="21"/>
      <c r="E121" s="21"/>
      <c r="F121" s="21"/>
      <c r="I121" s="21"/>
      <c r="K121" s="21"/>
      <c r="L121" s="21"/>
      <c r="M121" s="21"/>
    </row>
    <row r="122" spans="4:13" ht="15.75" customHeight="1">
      <c r="D122" s="21"/>
      <c r="E122" s="21"/>
      <c r="F122" s="21"/>
      <c r="I122" s="21"/>
      <c r="K122" s="21"/>
      <c r="L122" s="21"/>
      <c r="M122" s="21"/>
    </row>
    <row r="123" spans="4:13" ht="15.75" customHeight="1">
      <c r="D123" s="21"/>
      <c r="E123" s="21"/>
      <c r="F123" s="21"/>
      <c r="I123" s="21"/>
      <c r="K123" s="21"/>
      <c r="L123" s="21"/>
      <c r="M123" s="21"/>
    </row>
    <row r="124" spans="4:13" ht="15.75" customHeight="1">
      <c r="D124" s="21"/>
      <c r="E124" s="21"/>
      <c r="F124" s="21"/>
      <c r="I124" s="21"/>
      <c r="K124" s="21"/>
      <c r="L124" s="21"/>
      <c r="M124" s="21"/>
    </row>
    <row r="125" spans="4:13" ht="15.75" customHeight="1">
      <c r="D125" s="21"/>
      <c r="E125" s="21"/>
      <c r="F125" s="21"/>
      <c r="I125" s="21"/>
      <c r="K125" s="21"/>
      <c r="L125" s="21"/>
      <c r="M125" s="21"/>
    </row>
    <row r="126" spans="4:13" ht="15.75" customHeight="1">
      <c r="D126" s="21"/>
      <c r="E126" s="21"/>
      <c r="F126" s="21"/>
      <c r="I126" s="21"/>
      <c r="K126" s="21"/>
      <c r="L126" s="21"/>
      <c r="M126" s="21"/>
    </row>
    <row r="127" spans="4:13" ht="15.75" customHeight="1">
      <c r="D127" s="21"/>
      <c r="E127" s="21"/>
      <c r="F127" s="21"/>
      <c r="I127" s="21"/>
      <c r="K127" s="21"/>
      <c r="L127" s="21"/>
      <c r="M127" s="21"/>
    </row>
    <row r="128" spans="4:13" ht="15.75" customHeight="1">
      <c r="D128" s="21"/>
      <c r="E128" s="21"/>
      <c r="F128" s="21"/>
      <c r="I128" s="21"/>
      <c r="K128" s="21"/>
      <c r="L128" s="21"/>
      <c r="M128" s="21"/>
    </row>
    <row r="129" spans="4:13" ht="15.75" customHeight="1">
      <c r="D129" s="21"/>
      <c r="E129" s="21"/>
      <c r="F129" s="21"/>
      <c r="I129" s="21"/>
      <c r="K129" s="21"/>
      <c r="L129" s="21"/>
      <c r="M129" s="21"/>
    </row>
    <row r="130" spans="4:13" ht="15.75" customHeight="1">
      <c r="D130" s="21"/>
      <c r="E130" s="21"/>
      <c r="F130" s="21"/>
      <c r="I130" s="21"/>
      <c r="K130" s="21"/>
      <c r="L130" s="21"/>
      <c r="M130" s="21"/>
    </row>
    <row r="131" spans="4:13" ht="15.75" customHeight="1">
      <c r="D131" s="21"/>
      <c r="E131" s="21"/>
      <c r="F131" s="21"/>
      <c r="I131" s="21"/>
      <c r="K131" s="21"/>
      <c r="L131" s="21"/>
      <c r="M131" s="21"/>
    </row>
    <row r="132" spans="4:13" ht="15.75" customHeight="1">
      <c r="D132" s="21"/>
      <c r="E132" s="21"/>
      <c r="F132" s="21"/>
      <c r="I132" s="21"/>
      <c r="K132" s="21"/>
      <c r="L132" s="21"/>
      <c r="M132" s="21"/>
    </row>
    <row r="133" spans="4:13" ht="15.75" customHeight="1">
      <c r="D133" s="21"/>
      <c r="E133" s="21"/>
      <c r="F133" s="21"/>
      <c r="I133" s="21"/>
      <c r="K133" s="21"/>
      <c r="L133" s="21"/>
      <c r="M133" s="21"/>
    </row>
    <row r="134" spans="4:13" ht="15.75" customHeight="1">
      <c r="D134" s="21"/>
      <c r="E134" s="21"/>
      <c r="F134" s="21"/>
      <c r="I134" s="21"/>
      <c r="K134" s="21"/>
      <c r="L134" s="21"/>
      <c r="M134" s="21"/>
    </row>
    <row r="135" spans="4:13" ht="15.75" customHeight="1">
      <c r="D135" s="21"/>
      <c r="E135" s="21"/>
      <c r="F135" s="21"/>
      <c r="I135" s="21"/>
      <c r="K135" s="21"/>
      <c r="L135" s="21"/>
      <c r="M135" s="21"/>
    </row>
    <row r="136" spans="4:13" ht="15.75" customHeight="1">
      <c r="D136" s="21"/>
      <c r="E136" s="21"/>
      <c r="F136" s="21"/>
      <c r="I136" s="21"/>
      <c r="K136" s="21"/>
      <c r="L136" s="21"/>
      <c r="M136" s="21"/>
    </row>
    <row r="137" spans="4:13" ht="15.75" customHeight="1">
      <c r="D137" s="21"/>
      <c r="E137" s="21"/>
      <c r="F137" s="21"/>
      <c r="I137" s="21"/>
      <c r="K137" s="21"/>
      <c r="L137" s="21"/>
      <c r="M137" s="21"/>
    </row>
    <row r="138" spans="4:13" ht="15.75" customHeight="1">
      <c r="D138" s="21"/>
      <c r="E138" s="21"/>
      <c r="F138" s="21"/>
      <c r="I138" s="21"/>
      <c r="K138" s="21"/>
      <c r="L138" s="21"/>
      <c r="M138" s="21"/>
    </row>
    <row r="139" spans="4:13" ht="15.75" customHeight="1">
      <c r="D139" s="21"/>
      <c r="E139" s="21"/>
      <c r="F139" s="21"/>
      <c r="I139" s="21"/>
      <c r="K139" s="21"/>
      <c r="L139" s="21"/>
      <c r="M139" s="21"/>
    </row>
    <row r="140" spans="4:13" ht="15.75" customHeight="1">
      <c r="D140" s="21"/>
      <c r="E140" s="21"/>
      <c r="F140" s="21"/>
      <c r="I140" s="21"/>
      <c r="K140" s="21"/>
      <c r="L140" s="21"/>
      <c r="M140" s="21"/>
    </row>
    <row r="141" spans="4:13" ht="15.75" customHeight="1">
      <c r="D141" s="21"/>
      <c r="E141" s="21"/>
      <c r="F141" s="21"/>
      <c r="I141" s="21"/>
      <c r="K141" s="21"/>
      <c r="L141" s="21"/>
      <c r="M141" s="21"/>
    </row>
    <row r="142" spans="4:13" ht="15.75" customHeight="1">
      <c r="D142" s="21"/>
      <c r="E142" s="21"/>
      <c r="F142" s="21"/>
      <c r="I142" s="21"/>
      <c r="K142" s="21"/>
      <c r="L142" s="21"/>
      <c r="M142" s="21"/>
    </row>
    <row r="143" spans="4:13" ht="15.75" customHeight="1">
      <c r="D143" s="21"/>
      <c r="E143" s="21"/>
      <c r="F143" s="21"/>
      <c r="I143" s="21"/>
      <c r="K143" s="21"/>
      <c r="L143" s="21"/>
      <c r="M143" s="21"/>
    </row>
    <row r="144" spans="4:13" ht="15.75" customHeight="1">
      <c r="D144" s="21"/>
      <c r="E144" s="21"/>
      <c r="F144" s="21"/>
      <c r="I144" s="21"/>
      <c r="K144" s="21"/>
      <c r="L144" s="21"/>
      <c r="M144" s="21"/>
    </row>
    <row r="145" spans="4:13" ht="15.75" customHeight="1">
      <c r="D145" s="21"/>
      <c r="E145" s="21"/>
      <c r="F145" s="21"/>
      <c r="I145" s="21"/>
      <c r="K145" s="21"/>
      <c r="L145" s="21"/>
      <c r="M145" s="21"/>
    </row>
    <row r="146" spans="4:13" ht="15.75" customHeight="1">
      <c r="D146" s="21"/>
      <c r="E146" s="21"/>
      <c r="F146" s="21"/>
      <c r="I146" s="21"/>
      <c r="K146" s="21"/>
      <c r="L146" s="21"/>
      <c r="M146" s="21"/>
    </row>
    <row r="147" spans="4:13" ht="15.75" customHeight="1">
      <c r="D147" s="21"/>
      <c r="E147" s="21"/>
      <c r="F147" s="21"/>
      <c r="I147" s="21"/>
      <c r="K147" s="21"/>
      <c r="L147" s="21"/>
      <c r="M147" s="21"/>
    </row>
    <row r="148" spans="4:13" ht="15.75" customHeight="1">
      <c r="D148" s="21"/>
      <c r="E148" s="21"/>
      <c r="F148" s="21"/>
      <c r="I148" s="21"/>
      <c r="K148" s="21"/>
      <c r="L148" s="21"/>
      <c r="M148" s="21"/>
    </row>
    <row r="149" spans="4:13" ht="15.75" customHeight="1">
      <c r="D149" s="21"/>
      <c r="E149" s="21"/>
      <c r="F149" s="21"/>
      <c r="I149" s="21"/>
      <c r="K149" s="21"/>
      <c r="L149" s="21"/>
      <c r="M149" s="21"/>
    </row>
    <row r="150" spans="4:13" ht="15.75" customHeight="1">
      <c r="D150" s="21"/>
      <c r="E150" s="21"/>
      <c r="F150" s="21"/>
      <c r="I150" s="21"/>
      <c r="K150" s="21"/>
      <c r="L150" s="21"/>
      <c r="M150" s="21"/>
    </row>
    <row r="151" spans="4:13" ht="15.75" customHeight="1">
      <c r="D151" s="21"/>
      <c r="E151" s="21"/>
      <c r="F151" s="21"/>
      <c r="I151" s="21"/>
      <c r="K151" s="21"/>
      <c r="L151" s="21"/>
      <c r="M151" s="21"/>
    </row>
    <row r="152" spans="4:13" ht="15.75" customHeight="1">
      <c r="D152" s="21"/>
      <c r="E152" s="21"/>
      <c r="F152" s="21"/>
      <c r="I152" s="21"/>
      <c r="K152" s="21"/>
      <c r="L152" s="21"/>
      <c r="M152" s="21"/>
    </row>
    <row r="153" spans="4:13" ht="15.75" customHeight="1">
      <c r="D153" s="21"/>
      <c r="E153" s="21"/>
      <c r="F153" s="21"/>
      <c r="I153" s="21"/>
      <c r="K153" s="21"/>
      <c r="L153" s="21"/>
      <c r="M153" s="21"/>
    </row>
    <row r="154" spans="4:13" ht="15.75" customHeight="1">
      <c r="D154" s="21"/>
      <c r="E154" s="21"/>
      <c r="F154" s="21"/>
      <c r="I154" s="21"/>
      <c r="K154" s="21"/>
      <c r="L154" s="21"/>
      <c r="M154" s="21"/>
    </row>
    <row r="155" spans="4:13" ht="15.75" customHeight="1">
      <c r="D155" s="21"/>
      <c r="E155" s="21"/>
      <c r="F155" s="21"/>
      <c r="I155" s="21"/>
      <c r="K155" s="21"/>
      <c r="L155" s="21"/>
      <c r="M155" s="21"/>
    </row>
    <row r="156" spans="4:13" ht="15.75" customHeight="1">
      <c r="D156" s="21"/>
      <c r="E156" s="21"/>
      <c r="F156" s="21"/>
      <c r="I156" s="21"/>
      <c r="K156" s="21"/>
      <c r="L156" s="21"/>
      <c r="M156" s="21"/>
    </row>
    <row r="157" spans="4:13" ht="15.75" customHeight="1">
      <c r="D157" s="21"/>
      <c r="E157" s="21"/>
      <c r="F157" s="21"/>
      <c r="I157" s="21"/>
      <c r="K157" s="21"/>
      <c r="L157" s="21"/>
      <c r="M157" s="21"/>
    </row>
    <row r="158" spans="4:13" ht="15.75" customHeight="1">
      <c r="D158" s="21"/>
      <c r="E158" s="21"/>
      <c r="F158" s="21"/>
      <c r="I158" s="21"/>
      <c r="K158" s="21"/>
      <c r="L158" s="21"/>
      <c r="M158" s="21"/>
    </row>
    <row r="159" spans="4:13" ht="15.75" customHeight="1">
      <c r="D159" s="21"/>
      <c r="E159" s="21"/>
      <c r="F159" s="21"/>
      <c r="I159" s="21"/>
      <c r="K159" s="21"/>
      <c r="L159" s="21"/>
      <c r="M159" s="21"/>
    </row>
    <row r="160" spans="4:13" ht="15.75" customHeight="1">
      <c r="D160" s="21"/>
      <c r="E160" s="21"/>
      <c r="F160" s="21"/>
      <c r="I160" s="21"/>
      <c r="K160" s="21"/>
      <c r="L160" s="21"/>
      <c r="M160" s="21"/>
    </row>
    <row r="161" spans="4:13" ht="15.75" customHeight="1">
      <c r="D161" s="21"/>
      <c r="E161" s="21"/>
      <c r="F161" s="21"/>
      <c r="I161" s="21"/>
      <c r="K161" s="21"/>
      <c r="L161" s="21"/>
      <c r="M161" s="21"/>
    </row>
    <row r="162" spans="4:13" ht="15.75" customHeight="1">
      <c r="D162" s="21"/>
      <c r="E162" s="21"/>
      <c r="F162" s="21"/>
      <c r="I162" s="21"/>
      <c r="K162" s="21"/>
      <c r="L162" s="21"/>
      <c r="M162" s="21"/>
    </row>
    <row r="163" spans="4:13" ht="15.75" customHeight="1">
      <c r="D163" s="21"/>
      <c r="E163" s="21"/>
      <c r="F163" s="21"/>
      <c r="I163" s="21"/>
      <c r="K163" s="21"/>
      <c r="L163" s="21"/>
      <c r="M163" s="21"/>
    </row>
    <row r="164" spans="4:13" ht="15.75" customHeight="1">
      <c r="D164" s="21"/>
      <c r="E164" s="21"/>
      <c r="F164" s="21"/>
      <c r="I164" s="21"/>
      <c r="K164" s="21"/>
      <c r="L164" s="21"/>
      <c r="M164" s="21"/>
    </row>
    <row r="165" spans="4:13" ht="15.75" customHeight="1">
      <c r="D165" s="21"/>
      <c r="E165" s="21"/>
      <c r="F165" s="21"/>
      <c r="I165" s="21"/>
      <c r="K165" s="21"/>
      <c r="L165" s="21"/>
      <c r="M165" s="21"/>
    </row>
    <row r="166" spans="4:13" ht="15.75" customHeight="1">
      <c r="D166" s="21"/>
      <c r="E166" s="21"/>
      <c r="F166" s="21"/>
      <c r="I166" s="21"/>
      <c r="K166" s="21"/>
      <c r="L166" s="21"/>
      <c r="M166" s="21"/>
    </row>
    <row r="167" spans="4:13" ht="15.75" customHeight="1">
      <c r="D167" s="21"/>
      <c r="E167" s="21"/>
      <c r="F167" s="21"/>
      <c r="I167" s="21"/>
      <c r="K167" s="21"/>
      <c r="L167" s="21"/>
      <c r="M167" s="21"/>
    </row>
    <row r="168" spans="4:13" ht="15.75" customHeight="1">
      <c r="D168" s="21"/>
      <c r="E168" s="21"/>
      <c r="F168" s="21"/>
      <c r="I168" s="21"/>
      <c r="K168" s="21"/>
      <c r="L168" s="21"/>
      <c r="M168" s="21"/>
    </row>
    <row r="169" spans="4:13" ht="15.75" customHeight="1">
      <c r="D169" s="21"/>
      <c r="E169" s="21"/>
      <c r="F169" s="21"/>
      <c r="I169" s="21"/>
      <c r="K169" s="21"/>
      <c r="L169" s="21"/>
      <c r="M169" s="21"/>
    </row>
    <row r="170" spans="4:13" ht="15.75" customHeight="1">
      <c r="D170" s="21"/>
      <c r="E170" s="21"/>
      <c r="F170" s="21"/>
      <c r="I170" s="21"/>
      <c r="K170" s="21"/>
      <c r="L170" s="21"/>
      <c r="M170" s="21"/>
    </row>
    <row r="171" spans="4:13" ht="15.75" customHeight="1">
      <c r="D171" s="21"/>
      <c r="E171" s="21"/>
      <c r="F171" s="21"/>
      <c r="I171" s="21"/>
      <c r="K171" s="21"/>
      <c r="L171" s="21"/>
      <c r="M171" s="21"/>
    </row>
    <row r="172" spans="4:13" ht="15.75" customHeight="1">
      <c r="D172" s="21"/>
      <c r="E172" s="21"/>
      <c r="F172" s="21"/>
      <c r="I172" s="21"/>
      <c r="K172" s="21"/>
      <c r="L172" s="21"/>
      <c r="M172" s="21"/>
    </row>
    <row r="173" spans="4:13" ht="15.75" customHeight="1">
      <c r="D173" s="21"/>
      <c r="E173" s="21"/>
      <c r="F173" s="21"/>
      <c r="I173" s="21"/>
      <c r="K173" s="21"/>
      <c r="L173" s="21"/>
      <c r="M173" s="21"/>
    </row>
    <row r="174" spans="4:13" ht="15.75" customHeight="1">
      <c r="D174" s="21"/>
      <c r="E174" s="21"/>
      <c r="F174" s="21"/>
      <c r="I174" s="21"/>
      <c r="K174" s="21"/>
      <c r="L174" s="21"/>
      <c r="M174" s="21"/>
    </row>
    <row r="175" spans="4:13" ht="15.75" customHeight="1">
      <c r="D175" s="21"/>
      <c r="E175" s="21"/>
      <c r="F175" s="21"/>
      <c r="I175" s="21"/>
      <c r="K175" s="21"/>
      <c r="L175" s="21"/>
      <c r="M175" s="21"/>
    </row>
    <row r="176" spans="4:13" ht="15.75" customHeight="1">
      <c r="D176" s="21"/>
      <c r="E176" s="21"/>
      <c r="F176" s="21"/>
      <c r="I176" s="21"/>
      <c r="K176" s="21"/>
      <c r="L176" s="21"/>
      <c r="M176" s="21"/>
    </row>
    <row r="177" spans="4:13" ht="15.75" customHeight="1">
      <c r="D177" s="21"/>
      <c r="E177" s="21"/>
      <c r="F177" s="21"/>
      <c r="I177" s="21"/>
      <c r="K177" s="21"/>
      <c r="L177" s="21"/>
      <c r="M177" s="21"/>
    </row>
    <row r="178" spans="4:13" ht="15.75" customHeight="1">
      <c r="D178" s="21"/>
      <c r="E178" s="21"/>
      <c r="F178" s="21"/>
      <c r="I178" s="21"/>
      <c r="K178" s="21"/>
      <c r="L178" s="21"/>
      <c r="M178" s="21"/>
    </row>
    <row r="179" spans="4:13" ht="15.75" customHeight="1">
      <c r="D179" s="21"/>
      <c r="E179" s="21"/>
      <c r="F179" s="21"/>
      <c r="I179" s="21"/>
      <c r="K179" s="21"/>
      <c r="L179" s="21"/>
      <c r="M179" s="21"/>
    </row>
    <row r="180" spans="4:13" ht="15.75" customHeight="1">
      <c r="D180" s="21"/>
      <c r="E180" s="21"/>
      <c r="F180" s="21"/>
      <c r="I180" s="21"/>
      <c r="K180" s="21"/>
      <c r="L180" s="21"/>
      <c r="M180" s="21"/>
    </row>
    <row r="181" spans="4:13" ht="15.75" customHeight="1">
      <c r="D181" s="21"/>
      <c r="E181" s="21"/>
      <c r="F181" s="21"/>
      <c r="I181" s="21"/>
      <c r="K181" s="21"/>
      <c r="L181" s="21"/>
      <c r="M181" s="21"/>
    </row>
    <row r="182" spans="4:13" ht="15.75" customHeight="1">
      <c r="D182" s="21"/>
      <c r="E182" s="21"/>
      <c r="F182" s="21"/>
      <c r="I182" s="21"/>
      <c r="K182" s="21"/>
      <c r="L182" s="21"/>
      <c r="M182" s="21"/>
    </row>
    <row r="183" spans="4:13" ht="15.75" customHeight="1">
      <c r="D183" s="21"/>
      <c r="E183" s="21"/>
      <c r="F183" s="21"/>
      <c r="I183" s="21"/>
      <c r="K183" s="21"/>
      <c r="L183" s="21"/>
      <c r="M183" s="21"/>
    </row>
    <row r="184" spans="4:13" ht="15.75" customHeight="1">
      <c r="D184" s="21"/>
      <c r="E184" s="21"/>
      <c r="F184" s="21"/>
      <c r="I184" s="21"/>
      <c r="K184" s="21"/>
      <c r="L184" s="21"/>
      <c r="M184" s="21"/>
    </row>
    <row r="185" spans="4:13" ht="15.75" customHeight="1">
      <c r="D185" s="21"/>
      <c r="E185" s="21"/>
      <c r="F185" s="21"/>
      <c r="I185" s="21"/>
      <c r="K185" s="21"/>
      <c r="L185" s="21"/>
      <c r="M185" s="21"/>
    </row>
    <row r="186" spans="4:13" ht="15.75" customHeight="1">
      <c r="D186" s="21"/>
      <c r="E186" s="21"/>
      <c r="F186" s="21"/>
      <c r="I186" s="21"/>
      <c r="K186" s="21"/>
      <c r="L186" s="21"/>
      <c r="M186" s="21"/>
    </row>
    <row r="187" spans="4:13" ht="15.75" customHeight="1">
      <c r="D187" s="21"/>
      <c r="E187" s="21"/>
      <c r="F187" s="21"/>
      <c r="I187" s="21"/>
      <c r="K187" s="21"/>
      <c r="L187" s="21"/>
      <c r="M187" s="21"/>
    </row>
    <row r="188" spans="4:13" ht="15.75" customHeight="1">
      <c r="D188" s="21"/>
      <c r="E188" s="21"/>
      <c r="F188" s="21"/>
      <c r="I188" s="21"/>
      <c r="K188" s="21"/>
      <c r="L188" s="21"/>
      <c r="M188" s="21"/>
    </row>
    <row r="189" spans="4:13" ht="15.75" customHeight="1">
      <c r="D189" s="21"/>
      <c r="E189" s="21"/>
      <c r="F189" s="21"/>
      <c r="I189" s="21"/>
      <c r="K189" s="21"/>
      <c r="L189" s="21"/>
      <c r="M189" s="21"/>
    </row>
    <row r="190" spans="4:13" ht="15.75" customHeight="1">
      <c r="D190" s="21"/>
      <c r="E190" s="21"/>
      <c r="F190" s="21"/>
      <c r="I190" s="21"/>
      <c r="K190" s="21"/>
      <c r="L190" s="21"/>
      <c r="M190" s="21"/>
    </row>
    <row r="191" spans="4:13" ht="15.75" customHeight="1">
      <c r="D191" s="21"/>
      <c r="E191" s="21"/>
      <c r="F191" s="21"/>
      <c r="I191" s="21"/>
      <c r="K191" s="21"/>
      <c r="L191" s="21"/>
      <c r="M191" s="21"/>
    </row>
    <row r="192" spans="4:13" ht="15.75" customHeight="1">
      <c r="D192" s="21"/>
      <c r="E192" s="21"/>
      <c r="F192" s="21"/>
      <c r="I192" s="21"/>
      <c r="K192" s="21"/>
      <c r="L192" s="21"/>
      <c r="M192" s="21"/>
    </row>
    <row r="193" spans="4:13" ht="15.75" customHeight="1">
      <c r="D193" s="21"/>
      <c r="E193" s="21"/>
      <c r="F193" s="21"/>
      <c r="I193" s="21"/>
      <c r="K193" s="21"/>
      <c r="L193" s="21"/>
      <c r="M193" s="21"/>
    </row>
    <row r="194" spans="4:13" ht="15.75" customHeight="1">
      <c r="D194" s="21"/>
      <c r="E194" s="21"/>
      <c r="F194" s="21"/>
      <c r="I194" s="21"/>
      <c r="K194" s="21"/>
      <c r="L194" s="21"/>
      <c r="M194" s="21"/>
    </row>
    <row r="195" spans="4:13" ht="15.75" customHeight="1">
      <c r="D195" s="21"/>
      <c r="E195" s="21"/>
      <c r="F195" s="21"/>
      <c r="I195" s="21"/>
      <c r="K195" s="21"/>
      <c r="L195" s="21"/>
      <c r="M195" s="21"/>
    </row>
    <row r="196" spans="4:13" ht="15.75" customHeight="1">
      <c r="D196" s="21"/>
      <c r="E196" s="21"/>
      <c r="F196" s="21"/>
      <c r="I196" s="21"/>
      <c r="K196" s="21"/>
      <c r="L196" s="21"/>
      <c r="M196" s="21"/>
    </row>
    <row r="197" spans="4:13" ht="15.75" customHeight="1">
      <c r="D197" s="21"/>
      <c r="E197" s="21"/>
      <c r="F197" s="21"/>
      <c r="I197" s="21"/>
      <c r="K197" s="21"/>
      <c r="L197" s="21"/>
      <c r="M197" s="21"/>
    </row>
    <row r="198" spans="4:13" ht="15.75" customHeight="1">
      <c r="D198" s="21"/>
      <c r="E198" s="21"/>
      <c r="F198" s="21"/>
      <c r="I198" s="21"/>
      <c r="K198" s="21"/>
      <c r="L198" s="21"/>
      <c r="M198" s="21"/>
    </row>
    <row r="199" spans="4:13" ht="15.75" customHeight="1">
      <c r="D199" s="21"/>
      <c r="E199" s="21"/>
      <c r="F199" s="21"/>
      <c r="I199" s="21"/>
      <c r="K199" s="21"/>
      <c r="L199" s="21"/>
      <c r="M199" s="21"/>
    </row>
    <row r="200" spans="4:13" ht="15.75" customHeight="1">
      <c r="D200" s="21"/>
      <c r="E200" s="21"/>
      <c r="F200" s="21"/>
      <c r="I200" s="21"/>
      <c r="K200" s="21"/>
      <c r="L200" s="21"/>
      <c r="M200" s="21"/>
    </row>
    <row r="201" spans="4:13" ht="15.75" customHeight="1">
      <c r="D201" s="21"/>
      <c r="E201" s="21"/>
      <c r="F201" s="21"/>
      <c r="I201" s="21"/>
      <c r="K201" s="21"/>
      <c r="L201" s="21"/>
      <c r="M201" s="21"/>
    </row>
    <row r="202" spans="4:13" ht="15.75" customHeight="1">
      <c r="D202" s="21"/>
      <c r="E202" s="21"/>
      <c r="F202" s="21"/>
      <c r="I202" s="21"/>
      <c r="K202" s="21"/>
      <c r="L202" s="21"/>
      <c r="M202" s="21"/>
    </row>
    <row r="203" spans="4:13" ht="15.75" customHeight="1">
      <c r="D203" s="21"/>
      <c r="E203" s="21"/>
      <c r="F203" s="21"/>
      <c r="I203" s="21"/>
      <c r="K203" s="21"/>
      <c r="L203" s="21"/>
      <c r="M203" s="21"/>
    </row>
    <row r="204" spans="4:13" ht="15.75" customHeight="1">
      <c r="D204" s="21"/>
      <c r="E204" s="21"/>
      <c r="F204" s="21"/>
      <c r="I204" s="21"/>
      <c r="K204" s="21"/>
      <c r="L204" s="21"/>
      <c r="M204" s="21"/>
    </row>
    <row r="205" spans="4:13" ht="15.75" customHeight="1">
      <c r="D205" s="21"/>
      <c r="E205" s="21"/>
      <c r="F205" s="21"/>
      <c r="I205" s="21"/>
      <c r="K205" s="21"/>
      <c r="L205" s="21"/>
      <c r="M205" s="21"/>
    </row>
    <row r="206" spans="4:13" ht="15.75" customHeight="1">
      <c r="D206" s="21"/>
      <c r="E206" s="21"/>
      <c r="F206" s="21"/>
      <c r="I206" s="21"/>
      <c r="K206" s="21"/>
      <c r="L206" s="21"/>
      <c r="M206" s="21"/>
    </row>
    <row r="207" spans="4:13" ht="15.75" customHeight="1">
      <c r="D207" s="21"/>
      <c r="E207" s="21"/>
      <c r="F207" s="21"/>
      <c r="I207" s="21"/>
      <c r="K207" s="21"/>
      <c r="L207" s="21"/>
      <c r="M207" s="21"/>
    </row>
    <row r="208" spans="4:13" ht="15.75" customHeight="1">
      <c r="D208" s="21"/>
      <c r="E208" s="21"/>
      <c r="F208" s="21"/>
      <c r="I208" s="21"/>
      <c r="K208" s="21"/>
      <c r="L208" s="21"/>
      <c r="M208" s="21"/>
    </row>
    <row r="209" spans="4:13" ht="15.75" customHeight="1">
      <c r="D209" s="21"/>
      <c r="E209" s="21"/>
      <c r="F209" s="21"/>
      <c r="I209" s="21"/>
      <c r="K209" s="21"/>
      <c r="L209" s="21"/>
      <c r="M209" s="21"/>
    </row>
    <row r="210" spans="4:13" ht="15.75" customHeight="1">
      <c r="D210" s="21"/>
      <c r="E210" s="21"/>
      <c r="F210" s="21"/>
      <c r="I210" s="21"/>
      <c r="K210" s="21"/>
      <c r="L210" s="21"/>
      <c r="M210" s="21"/>
    </row>
    <row r="211" spans="4:13" ht="15.75" customHeight="1">
      <c r="D211" s="21"/>
      <c r="E211" s="21"/>
      <c r="F211" s="21"/>
      <c r="I211" s="21"/>
      <c r="K211" s="21"/>
      <c r="L211" s="21"/>
      <c r="M211" s="21"/>
    </row>
    <row r="212" spans="4:13" ht="15.75" customHeight="1">
      <c r="D212" s="21"/>
      <c r="E212" s="21"/>
      <c r="F212" s="21"/>
      <c r="I212" s="21"/>
      <c r="K212" s="21"/>
      <c r="L212" s="21"/>
      <c r="M212" s="21"/>
    </row>
    <row r="213" spans="4:13" ht="15.75" customHeight="1">
      <c r="D213" s="21"/>
      <c r="E213" s="21"/>
      <c r="F213" s="21"/>
      <c r="I213" s="21"/>
      <c r="K213" s="21"/>
      <c r="L213" s="21"/>
      <c r="M213" s="21"/>
    </row>
    <row r="214" spans="4:13" ht="15.75" customHeight="1">
      <c r="D214" s="21"/>
      <c r="E214" s="21"/>
      <c r="F214" s="21"/>
      <c r="I214" s="21"/>
      <c r="K214" s="21"/>
      <c r="L214" s="21"/>
      <c r="M214" s="21"/>
    </row>
    <row r="215" spans="4:13" ht="15.75" customHeight="1">
      <c r="D215" s="21"/>
      <c r="E215" s="21"/>
      <c r="F215" s="21"/>
      <c r="I215" s="21"/>
      <c r="K215" s="21"/>
      <c r="L215" s="21"/>
      <c r="M215" s="21"/>
    </row>
    <row r="216" spans="4:13" ht="15.75" customHeight="1">
      <c r="D216" s="21"/>
      <c r="E216" s="21"/>
      <c r="F216" s="21"/>
      <c r="I216" s="21"/>
      <c r="K216" s="21"/>
      <c r="L216" s="21"/>
      <c r="M216" s="21"/>
    </row>
    <row r="217" spans="4:13" ht="15.75" customHeight="1">
      <c r="D217" s="21"/>
      <c r="E217" s="21"/>
      <c r="F217" s="21"/>
      <c r="I217" s="21"/>
      <c r="K217" s="21"/>
      <c r="L217" s="21"/>
      <c r="M217" s="21"/>
    </row>
    <row r="218" spans="4:13" ht="15.75" customHeight="1">
      <c r="D218" s="21"/>
      <c r="E218" s="21"/>
      <c r="F218" s="21"/>
      <c r="I218" s="21"/>
      <c r="K218" s="21"/>
      <c r="L218" s="21"/>
      <c r="M218" s="21"/>
    </row>
    <row r="219" spans="4:13" ht="15.75" customHeight="1">
      <c r="D219" s="21"/>
      <c r="E219" s="21"/>
      <c r="F219" s="21"/>
      <c r="I219" s="21"/>
      <c r="K219" s="21"/>
      <c r="L219" s="21"/>
      <c r="M219" s="21"/>
    </row>
    <row r="220" spans="4:13" ht="15.75" customHeight="1">
      <c r="D220" s="21"/>
      <c r="E220" s="21"/>
      <c r="F220" s="21"/>
      <c r="I220" s="21"/>
      <c r="K220" s="21"/>
      <c r="L220" s="21"/>
      <c r="M220" s="21"/>
    </row>
    <row r="221" spans="4:13" ht="15.75" customHeight="1">
      <c r="D221" s="21"/>
      <c r="E221" s="21"/>
      <c r="F221" s="21"/>
      <c r="I221" s="21"/>
      <c r="K221" s="21"/>
      <c r="L221" s="21"/>
      <c r="M221" s="21"/>
    </row>
    <row r="222" spans="4:13" ht="15.75" customHeight="1">
      <c r="D222" s="21"/>
      <c r="E222" s="21"/>
      <c r="F222" s="21"/>
      <c r="I222" s="21"/>
      <c r="K222" s="21"/>
      <c r="L222" s="21"/>
      <c r="M222" s="21"/>
    </row>
    <row r="223" spans="4:13" ht="15.75" customHeight="1">
      <c r="D223" s="21"/>
      <c r="E223" s="21"/>
      <c r="F223" s="21"/>
      <c r="I223" s="21"/>
      <c r="K223" s="21"/>
      <c r="L223" s="21"/>
      <c r="M223" s="21"/>
    </row>
    <row r="224" spans="4:13" ht="15.75" customHeight="1">
      <c r="D224" s="21"/>
      <c r="E224" s="21"/>
      <c r="F224" s="21"/>
      <c r="I224" s="21"/>
      <c r="K224" s="21"/>
      <c r="L224" s="21"/>
      <c r="M224" s="21"/>
    </row>
    <row r="225" spans="4:13" ht="15.75" customHeight="1">
      <c r="D225" s="21"/>
      <c r="E225" s="21"/>
      <c r="F225" s="21"/>
      <c r="I225" s="21"/>
      <c r="K225" s="21"/>
      <c r="L225" s="21"/>
      <c r="M225" s="21"/>
    </row>
    <row r="226" spans="4:13" ht="15.75" customHeight="1">
      <c r="D226" s="21"/>
      <c r="E226" s="21"/>
      <c r="F226" s="21"/>
      <c r="I226" s="21"/>
      <c r="K226" s="21"/>
      <c r="L226" s="21"/>
      <c r="M226" s="21"/>
    </row>
    <row r="227" spans="4:13" ht="15.75" customHeight="1">
      <c r="D227" s="21"/>
      <c r="E227" s="21"/>
      <c r="F227" s="21"/>
      <c r="I227" s="21"/>
      <c r="K227" s="21"/>
      <c r="L227" s="21"/>
      <c r="M227" s="21"/>
    </row>
    <row r="228" spans="4:13" ht="15.75" customHeight="1">
      <c r="D228" s="21"/>
      <c r="E228" s="21"/>
      <c r="F228" s="21"/>
      <c r="I228" s="21"/>
      <c r="K228" s="21"/>
      <c r="L228" s="21"/>
      <c r="M228" s="21"/>
    </row>
    <row r="229" spans="4:13" ht="15.75" customHeight="1">
      <c r="D229" s="21"/>
      <c r="E229" s="21"/>
      <c r="F229" s="21"/>
      <c r="I229" s="21"/>
      <c r="K229" s="21"/>
      <c r="L229" s="21"/>
      <c r="M229" s="21"/>
    </row>
    <row r="230" spans="4:13" ht="15.75" customHeight="1">
      <c r="D230" s="21"/>
      <c r="E230" s="21"/>
      <c r="F230" s="21"/>
      <c r="I230" s="21"/>
      <c r="K230" s="21"/>
      <c r="L230" s="21"/>
      <c r="M230" s="21"/>
    </row>
    <row r="231" spans="4:13" ht="15.75" customHeight="1">
      <c r="D231" s="21"/>
      <c r="E231" s="21"/>
      <c r="F231" s="21"/>
      <c r="I231" s="21"/>
      <c r="K231" s="21"/>
      <c r="L231" s="21"/>
      <c r="M231" s="21"/>
    </row>
    <row r="232" spans="4:13" ht="15.75" customHeight="1">
      <c r="D232" s="21"/>
      <c r="E232" s="21"/>
      <c r="F232" s="21"/>
      <c r="I232" s="21"/>
      <c r="K232" s="21"/>
      <c r="L232" s="21"/>
      <c r="M232" s="21"/>
    </row>
    <row r="233" spans="4:13" ht="15.75" customHeight="1">
      <c r="D233" s="21"/>
      <c r="E233" s="21"/>
      <c r="F233" s="21"/>
      <c r="I233" s="21"/>
      <c r="K233" s="21"/>
      <c r="L233" s="21"/>
      <c r="M233" s="21"/>
    </row>
    <row r="234" spans="4:13" ht="15.75" customHeight="1">
      <c r="D234" s="21"/>
      <c r="E234" s="21"/>
      <c r="F234" s="21"/>
      <c r="I234" s="21"/>
      <c r="K234" s="21"/>
      <c r="L234" s="21"/>
      <c r="M234" s="21"/>
    </row>
    <row r="235" spans="4:13" ht="15.75" customHeight="1">
      <c r="D235" s="21"/>
      <c r="E235" s="21"/>
      <c r="F235" s="21"/>
      <c r="I235" s="21"/>
      <c r="K235" s="21"/>
      <c r="L235" s="21"/>
      <c r="M235" s="21"/>
    </row>
    <row r="236" spans="4:13" ht="15.75" customHeight="1">
      <c r="D236" s="21"/>
      <c r="E236" s="21"/>
      <c r="F236" s="21"/>
      <c r="I236" s="21"/>
      <c r="K236" s="21"/>
      <c r="L236" s="21"/>
      <c r="M236" s="21"/>
    </row>
    <row r="237" spans="4:13" ht="15.75" customHeight="1">
      <c r="D237" s="21"/>
      <c r="E237" s="21"/>
      <c r="F237" s="21"/>
      <c r="I237" s="21"/>
      <c r="K237" s="21"/>
      <c r="L237" s="21"/>
      <c r="M237" s="21"/>
    </row>
    <row r="238" spans="4:13" ht="15.75" customHeight="1">
      <c r="D238" s="21"/>
      <c r="E238" s="21"/>
      <c r="F238" s="21"/>
      <c r="I238" s="21"/>
      <c r="K238" s="21"/>
      <c r="L238" s="21"/>
      <c r="M238" s="21"/>
    </row>
    <row r="239" spans="4:13" ht="15.75" customHeight="1">
      <c r="D239" s="21"/>
      <c r="E239" s="21"/>
      <c r="F239" s="21"/>
      <c r="I239" s="21"/>
      <c r="K239" s="21"/>
      <c r="L239" s="21"/>
      <c r="M239" s="21"/>
    </row>
    <row r="240" spans="4:13" ht="15.75" customHeight="1">
      <c r="D240" s="21"/>
      <c r="E240" s="21"/>
      <c r="F240" s="21"/>
      <c r="I240" s="21"/>
      <c r="K240" s="21"/>
      <c r="L240" s="21"/>
      <c r="M240" s="21"/>
    </row>
    <row r="241" spans="4:13" ht="15.75" customHeight="1">
      <c r="D241" s="21"/>
      <c r="E241" s="21"/>
      <c r="F241" s="21"/>
      <c r="I241" s="21"/>
      <c r="K241" s="21"/>
      <c r="L241" s="21"/>
      <c r="M241" s="21"/>
    </row>
    <row r="242" spans="4:13" ht="15.75" customHeight="1">
      <c r="D242" s="21"/>
      <c r="E242" s="21"/>
      <c r="F242" s="21"/>
      <c r="I242" s="21"/>
      <c r="K242" s="21"/>
      <c r="L242" s="21"/>
      <c r="M242" s="21"/>
    </row>
    <row r="243" spans="4:13" ht="15.75" customHeight="1">
      <c r="D243" s="21"/>
      <c r="E243" s="21"/>
      <c r="F243" s="21"/>
      <c r="I243" s="21"/>
      <c r="K243" s="21"/>
      <c r="L243" s="21"/>
      <c r="M243" s="21"/>
    </row>
    <row r="244" spans="4:13" ht="15.75" customHeight="1">
      <c r="D244" s="21"/>
      <c r="E244" s="21"/>
      <c r="F244" s="21"/>
      <c r="I244" s="21"/>
      <c r="K244" s="21"/>
      <c r="L244" s="21"/>
      <c r="M244" s="21"/>
    </row>
    <row r="245" spans="4:13" ht="15.75" customHeight="1">
      <c r="D245" s="21"/>
      <c r="E245" s="21"/>
      <c r="F245" s="21"/>
      <c r="I245" s="21"/>
      <c r="K245" s="21"/>
      <c r="L245" s="21"/>
      <c r="M245" s="21"/>
    </row>
    <row r="246" spans="4:13" ht="15.75" customHeight="1">
      <c r="D246" s="21"/>
      <c r="E246" s="21"/>
      <c r="F246" s="21"/>
      <c r="I246" s="21"/>
      <c r="K246" s="21"/>
      <c r="L246" s="21"/>
      <c r="M246" s="21"/>
    </row>
    <row r="247" spans="4:13" ht="15.75" customHeight="1">
      <c r="D247" s="21"/>
      <c r="E247" s="21"/>
      <c r="F247" s="21"/>
      <c r="I247" s="21"/>
      <c r="K247" s="21"/>
      <c r="L247" s="21"/>
      <c r="M247" s="21"/>
    </row>
    <row r="248" spans="4:13" ht="15.75" customHeight="1">
      <c r="D248" s="21"/>
      <c r="E248" s="21"/>
      <c r="F248" s="21"/>
      <c r="I248" s="21"/>
      <c r="K248" s="21"/>
      <c r="L248" s="21"/>
      <c r="M248" s="21"/>
    </row>
    <row r="249" spans="4:13" ht="15.75" customHeight="1">
      <c r="D249" s="21"/>
      <c r="E249" s="21"/>
      <c r="F249" s="21"/>
      <c r="I249" s="21"/>
      <c r="K249" s="21"/>
      <c r="L249" s="21"/>
      <c r="M249" s="21"/>
    </row>
    <row r="250" spans="4:13" ht="15.75" customHeight="1">
      <c r="D250" s="21"/>
      <c r="E250" s="21"/>
      <c r="F250" s="21"/>
      <c r="I250" s="21"/>
      <c r="K250" s="21"/>
      <c r="L250" s="21"/>
      <c r="M250" s="21"/>
    </row>
    <row r="251" spans="4:13" ht="15.75" customHeight="1">
      <c r="D251" s="21"/>
      <c r="E251" s="21"/>
      <c r="F251" s="21"/>
      <c r="I251" s="21"/>
      <c r="K251" s="21"/>
      <c r="L251" s="21"/>
      <c r="M251" s="21"/>
    </row>
    <row r="252" spans="4:13" ht="15.75" customHeight="1">
      <c r="D252" s="21"/>
      <c r="E252" s="21"/>
      <c r="F252" s="21"/>
      <c r="I252" s="21"/>
      <c r="K252" s="21"/>
      <c r="L252" s="21"/>
      <c r="M252" s="21"/>
    </row>
    <row r="253" spans="4:13" ht="15.75" customHeight="1">
      <c r="D253" s="21"/>
      <c r="E253" s="21"/>
      <c r="F253" s="21"/>
      <c r="I253" s="21"/>
      <c r="K253" s="21"/>
      <c r="L253" s="21"/>
      <c r="M253" s="21"/>
    </row>
    <row r="254" spans="4:13" ht="15.75" customHeight="1">
      <c r="D254" s="21"/>
      <c r="E254" s="21"/>
      <c r="F254" s="21"/>
      <c r="I254" s="21"/>
      <c r="K254" s="21"/>
      <c r="L254" s="21"/>
      <c r="M254" s="21"/>
    </row>
    <row r="255" spans="4:13" ht="15.75" customHeight="1">
      <c r="D255" s="21"/>
      <c r="E255" s="21"/>
      <c r="F255" s="21"/>
      <c r="I255" s="21"/>
      <c r="K255" s="21"/>
      <c r="L255" s="21"/>
      <c r="M255" s="21"/>
    </row>
    <row r="256" spans="4:13" ht="15.75" customHeight="1">
      <c r="D256" s="21"/>
      <c r="E256" s="21"/>
      <c r="F256" s="21"/>
      <c r="I256" s="21"/>
      <c r="K256" s="21"/>
      <c r="L256" s="21"/>
      <c r="M256" s="21"/>
    </row>
    <row r="257" spans="4:13" ht="15.75" customHeight="1">
      <c r="D257" s="21"/>
      <c r="E257" s="21"/>
      <c r="F257" s="21"/>
      <c r="I257" s="21"/>
      <c r="K257" s="21"/>
      <c r="L257" s="21"/>
      <c r="M257" s="21"/>
    </row>
    <row r="258" spans="4:13" ht="15.75" customHeight="1">
      <c r="D258" s="21"/>
      <c r="E258" s="21"/>
      <c r="F258" s="21"/>
      <c r="I258" s="21"/>
      <c r="K258" s="21"/>
      <c r="L258" s="21"/>
      <c r="M258" s="21"/>
    </row>
    <row r="259" spans="4:13" ht="15.75" customHeight="1">
      <c r="D259" s="21"/>
      <c r="E259" s="21"/>
      <c r="F259" s="21"/>
      <c r="I259" s="21"/>
      <c r="K259" s="21"/>
      <c r="L259" s="21"/>
      <c r="M259" s="21"/>
    </row>
    <row r="260" spans="4:13" ht="15.75" customHeight="1">
      <c r="D260" s="21"/>
      <c r="E260" s="21"/>
      <c r="F260" s="21"/>
      <c r="I260" s="21"/>
      <c r="K260" s="21"/>
      <c r="L260" s="21"/>
      <c r="M260" s="21"/>
    </row>
    <row r="261" spans="4:13" ht="15.75" customHeight="1">
      <c r="D261" s="21"/>
      <c r="E261" s="21"/>
      <c r="F261" s="21"/>
      <c r="I261" s="21"/>
      <c r="K261" s="21"/>
      <c r="L261" s="21"/>
      <c r="M261" s="21"/>
    </row>
    <row r="262" spans="4:13" ht="15.75" customHeight="1">
      <c r="D262" s="21"/>
      <c r="E262" s="21"/>
      <c r="F262" s="21"/>
      <c r="I262" s="21"/>
      <c r="K262" s="21"/>
      <c r="L262" s="21"/>
      <c r="M262" s="21"/>
    </row>
    <row r="263" spans="4:13" ht="15.75" customHeight="1">
      <c r="D263" s="21"/>
      <c r="E263" s="21"/>
      <c r="F263" s="21"/>
      <c r="I263" s="21"/>
      <c r="K263" s="21"/>
      <c r="L263" s="21"/>
      <c r="M263" s="21"/>
    </row>
    <row r="264" spans="4:13" ht="15.75" customHeight="1">
      <c r="D264" s="21"/>
      <c r="E264" s="21"/>
      <c r="F264" s="21"/>
      <c r="I264" s="21"/>
      <c r="K264" s="21"/>
      <c r="L264" s="21"/>
      <c r="M264" s="21"/>
    </row>
    <row r="265" spans="4:13" ht="15.75" customHeight="1">
      <c r="D265" s="21"/>
      <c r="E265" s="21"/>
      <c r="F265" s="21"/>
      <c r="I265" s="21"/>
      <c r="K265" s="21"/>
      <c r="L265" s="21"/>
      <c r="M265" s="21"/>
    </row>
    <row r="266" spans="4:13" ht="15.75" customHeight="1">
      <c r="D266" s="21"/>
      <c r="E266" s="21"/>
      <c r="F266" s="21"/>
      <c r="I266" s="21"/>
      <c r="K266" s="21"/>
      <c r="L266" s="21"/>
      <c r="M266" s="21"/>
    </row>
    <row r="267" spans="4:13" ht="15.75" customHeight="1">
      <c r="D267" s="21"/>
      <c r="E267" s="21"/>
      <c r="F267" s="21"/>
      <c r="I267" s="21"/>
      <c r="K267" s="21"/>
      <c r="L267" s="21"/>
      <c r="M267" s="21"/>
    </row>
    <row r="268" spans="4:13" ht="15.75" customHeight="1">
      <c r="D268" s="21"/>
      <c r="E268" s="21"/>
      <c r="F268" s="21"/>
      <c r="I268" s="21"/>
      <c r="K268" s="21"/>
      <c r="L268" s="21"/>
      <c r="M268" s="21"/>
    </row>
    <row r="269" spans="4:13" ht="15.75" customHeight="1">
      <c r="D269" s="21"/>
      <c r="E269" s="21"/>
      <c r="F269" s="21"/>
      <c r="I269" s="21"/>
      <c r="K269" s="21"/>
      <c r="L269" s="21"/>
      <c r="M269" s="21"/>
    </row>
    <row r="270" spans="4:13" ht="15.75" customHeight="1">
      <c r="D270" s="21"/>
      <c r="E270" s="21"/>
      <c r="F270" s="21"/>
      <c r="I270" s="21"/>
      <c r="K270" s="21"/>
      <c r="L270" s="21"/>
      <c r="M270" s="21"/>
    </row>
    <row r="271" spans="4:13" ht="15.75" customHeight="1">
      <c r="D271" s="21"/>
      <c r="E271" s="21"/>
      <c r="F271" s="21"/>
      <c r="I271" s="21"/>
      <c r="K271" s="21"/>
      <c r="L271" s="21"/>
      <c r="M271" s="21"/>
    </row>
    <row r="272" spans="4:13" ht="15.75" customHeight="1">
      <c r="D272" s="21"/>
      <c r="E272" s="21"/>
      <c r="F272" s="21"/>
      <c r="I272" s="21"/>
      <c r="K272" s="21"/>
      <c r="L272" s="21"/>
      <c r="M272" s="21"/>
    </row>
    <row r="273" spans="4:13" ht="15.75" customHeight="1">
      <c r="D273" s="21"/>
      <c r="E273" s="21"/>
      <c r="F273" s="21"/>
      <c r="I273" s="21"/>
      <c r="K273" s="21"/>
      <c r="L273" s="21"/>
      <c r="M273" s="21"/>
    </row>
    <row r="274" spans="4:13" ht="15.75" customHeight="1">
      <c r="D274" s="21"/>
      <c r="E274" s="21"/>
      <c r="F274" s="21"/>
      <c r="I274" s="21"/>
      <c r="K274" s="21"/>
      <c r="L274" s="21"/>
      <c r="M274" s="21"/>
    </row>
    <row r="275" spans="4:13" ht="15.75" customHeight="1">
      <c r="D275" s="21"/>
      <c r="E275" s="21"/>
      <c r="F275" s="21"/>
      <c r="I275" s="21"/>
      <c r="K275" s="21"/>
      <c r="L275" s="21"/>
      <c r="M275" s="21"/>
    </row>
    <row r="276" spans="4:13" ht="15.75" customHeight="1">
      <c r="D276" s="21"/>
      <c r="E276" s="21"/>
      <c r="F276" s="21"/>
      <c r="I276" s="21"/>
      <c r="K276" s="21"/>
      <c r="L276" s="21"/>
      <c r="M276" s="21"/>
    </row>
    <row r="277" spans="4:13" ht="15.75" customHeight="1">
      <c r="D277" s="21"/>
      <c r="E277" s="21"/>
      <c r="F277" s="21"/>
      <c r="I277" s="21"/>
      <c r="K277" s="21"/>
      <c r="L277" s="21"/>
      <c r="M277" s="21"/>
    </row>
    <row r="278" spans="4:13" ht="15.75" customHeight="1">
      <c r="D278" s="21"/>
      <c r="E278" s="21"/>
      <c r="F278" s="21"/>
      <c r="I278" s="21"/>
      <c r="K278" s="21"/>
      <c r="L278" s="21"/>
      <c r="M278" s="21"/>
    </row>
    <row r="279" spans="4:13" ht="15.75" customHeight="1">
      <c r="D279" s="21"/>
      <c r="E279" s="21"/>
      <c r="F279" s="21"/>
      <c r="I279" s="21"/>
      <c r="K279" s="21"/>
      <c r="L279" s="21"/>
      <c r="M279" s="21"/>
    </row>
    <row r="280" spans="4:13" ht="15.75" customHeight="1">
      <c r="D280" s="21"/>
      <c r="E280" s="21"/>
      <c r="F280" s="21"/>
      <c r="I280" s="21"/>
      <c r="K280" s="21"/>
      <c r="L280" s="21"/>
      <c r="M280" s="21"/>
    </row>
    <row r="281" spans="4:13" ht="15.75" customHeight="1">
      <c r="D281" s="21"/>
      <c r="E281" s="21"/>
      <c r="F281" s="21"/>
      <c r="I281" s="21"/>
      <c r="K281" s="21"/>
      <c r="L281" s="21"/>
      <c r="M281" s="21"/>
    </row>
    <row r="282" spans="4:13" ht="15.75" customHeight="1">
      <c r="D282" s="21"/>
      <c r="E282" s="21"/>
      <c r="F282" s="21"/>
      <c r="I282" s="21"/>
      <c r="K282" s="21"/>
      <c r="L282" s="21"/>
      <c r="M282" s="21"/>
    </row>
    <row r="283" spans="4:13" ht="15.75" customHeight="1">
      <c r="D283" s="21"/>
      <c r="E283" s="21"/>
      <c r="F283" s="21"/>
      <c r="I283" s="21"/>
      <c r="K283" s="21"/>
      <c r="L283" s="21"/>
      <c r="M283" s="21"/>
    </row>
    <row r="284" spans="4:13" ht="15.75" customHeight="1">
      <c r="D284" s="21"/>
      <c r="E284" s="21"/>
      <c r="F284" s="21"/>
      <c r="I284" s="21"/>
      <c r="K284" s="21"/>
      <c r="L284" s="21"/>
      <c r="M284" s="21"/>
    </row>
    <row r="285" spans="4:13" ht="15.75" customHeight="1">
      <c r="D285" s="21"/>
      <c r="E285" s="21"/>
      <c r="F285" s="21"/>
      <c r="I285" s="21"/>
      <c r="K285" s="21"/>
      <c r="L285" s="21"/>
      <c r="M285" s="21"/>
    </row>
    <row r="286" spans="4:13" ht="15.75" customHeight="1">
      <c r="D286" s="21"/>
      <c r="E286" s="21"/>
      <c r="F286" s="21"/>
      <c r="I286" s="21"/>
      <c r="K286" s="21"/>
      <c r="L286" s="21"/>
      <c r="M286" s="21"/>
    </row>
    <row r="287" spans="4:13" ht="15.75" customHeight="1">
      <c r="D287" s="21"/>
      <c r="E287" s="21"/>
      <c r="F287" s="21"/>
      <c r="I287" s="21"/>
      <c r="K287" s="21"/>
      <c r="L287" s="21"/>
      <c r="M287" s="21"/>
    </row>
    <row r="288" spans="4:13" ht="15.75" customHeight="1">
      <c r="D288" s="21"/>
      <c r="E288" s="21"/>
      <c r="F288" s="21"/>
      <c r="I288" s="21"/>
      <c r="K288" s="21"/>
      <c r="L288" s="21"/>
      <c r="M288" s="21"/>
    </row>
    <row r="289" spans="4:13" ht="15.75" customHeight="1">
      <c r="D289" s="21"/>
      <c r="E289" s="21"/>
      <c r="F289" s="21"/>
      <c r="I289" s="21"/>
      <c r="K289" s="21"/>
      <c r="L289" s="21"/>
      <c r="M289" s="21"/>
    </row>
    <row r="290" spans="4:13" ht="15.75" customHeight="1">
      <c r="D290" s="21"/>
      <c r="E290" s="21"/>
      <c r="F290" s="21"/>
      <c r="I290" s="21"/>
      <c r="K290" s="21"/>
      <c r="L290" s="21"/>
      <c r="M290" s="21"/>
    </row>
    <row r="291" spans="4:13" ht="15.75" customHeight="1">
      <c r="D291" s="21"/>
      <c r="E291" s="21"/>
      <c r="F291" s="21"/>
      <c r="I291" s="21"/>
      <c r="K291" s="21"/>
      <c r="L291" s="21"/>
      <c r="M291" s="21"/>
    </row>
    <row r="292" spans="4:13" ht="15.75" customHeight="1">
      <c r="D292" s="21"/>
      <c r="E292" s="21"/>
      <c r="F292" s="21"/>
      <c r="I292" s="21"/>
      <c r="K292" s="21"/>
      <c r="L292" s="21"/>
      <c r="M292" s="21"/>
    </row>
    <row r="293" spans="4:13" ht="15.75" customHeight="1">
      <c r="D293" s="21"/>
      <c r="E293" s="21"/>
      <c r="F293" s="21"/>
      <c r="I293" s="21"/>
      <c r="K293" s="21"/>
      <c r="L293" s="21"/>
      <c r="M293" s="21"/>
    </row>
    <row r="294" spans="4:13" ht="15.75" customHeight="1">
      <c r="D294" s="21"/>
      <c r="E294" s="21"/>
      <c r="F294" s="21"/>
      <c r="I294" s="21"/>
      <c r="K294" s="21"/>
      <c r="L294" s="21"/>
      <c r="M294" s="21"/>
    </row>
    <row r="295" spans="4:13" ht="15.75" customHeight="1">
      <c r="D295" s="21"/>
      <c r="E295" s="21"/>
      <c r="F295" s="21"/>
      <c r="I295" s="21"/>
      <c r="K295" s="21"/>
      <c r="L295" s="21"/>
      <c r="M295" s="21"/>
    </row>
    <row r="296" spans="4:13" ht="15.75" customHeight="1">
      <c r="D296" s="21"/>
      <c r="E296" s="21"/>
      <c r="F296" s="21"/>
      <c r="I296" s="21"/>
      <c r="K296" s="21"/>
      <c r="L296" s="21"/>
      <c r="M296" s="21"/>
    </row>
    <row r="297" spans="4:13" ht="15.75" customHeight="1">
      <c r="D297" s="21"/>
      <c r="E297" s="21"/>
      <c r="F297" s="21"/>
      <c r="I297" s="21"/>
      <c r="K297" s="21"/>
      <c r="L297" s="21"/>
      <c r="M297" s="21"/>
    </row>
    <row r="298" spans="4:13" ht="15.75" customHeight="1">
      <c r="D298" s="21"/>
      <c r="E298" s="21"/>
      <c r="F298" s="21"/>
      <c r="I298" s="21"/>
      <c r="K298" s="21"/>
      <c r="L298" s="21"/>
      <c r="M298" s="21"/>
    </row>
    <row r="299" spans="4:13" ht="15.75" customHeight="1">
      <c r="D299" s="21"/>
      <c r="E299" s="21"/>
      <c r="F299" s="21"/>
      <c r="I299" s="21"/>
      <c r="K299" s="21"/>
      <c r="L299" s="21"/>
      <c r="M299" s="21"/>
    </row>
    <row r="300" spans="4:13" ht="15.75" customHeight="1">
      <c r="D300" s="21"/>
      <c r="E300" s="21"/>
      <c r="F300" s="21"/>
      <c r="I300" s="21"/>
      <c r="K300" s="21"/>
      <c r="L300" s="21"/>
      <c r="M300" s="21"/>
    </row>
    <row r="301" spans="4:13" ht="15.75" customHeight="1">
      <c r="D301" s="21"/>
      <c r="E301" s="21"/>
      <c r="F301" s="21"/>
      <c r="I301" s="21"/>
      <c r="K301" s="21"/>
      <c r="L301" s="21"/>
      <c r="M301" s="21"/>
    </row>
    <row r="302" spans="4:13" ht="15.75" customHeight="1">
      <c r="D302" s="21"/>
      <c r="E302" s="21"/>
      <c r="F302" s="21"/>
      <c r="I302" s="21"/>
      <c r="K302" s="21"/>
      <c r="L302" s="21"/>
      <c r="M302" s="21"/>
    </row>
    <row r="303" spans="4:13" ht="15.75" customHeight="1">
      <c r="D303" s="21"/>
      <c r="E303" s="21"/>
      <c r="F303" s="21"/>
      <c r="I303" s="21"/>
      <c r="K303" s="21"/>
      <c r="L303" s="21"/>
      <c r="M303" s="21"/>
    </row>
    <row r="304" spans="4:13" ht="15.75" customHeight="1">
      <c r="D304" s="21"/>
      <c r="E304" s="21"/>
      <c r="F304" s="21"/>
      <c r="I304" s="21"/>
      <c r="K304" s="21"/>
      <c r="L304" s="21"/>
      <c r="M304" s="21"/>
    </row>
    <row r="305" spans="4:13" ht="15.75" customHeight="1">
      <c r="D305" s="21"/>
      <c r="E305" s="21"/>
      <c r="F305" s="21"/>
      <c r="I305" s="21"/>
      <c r="K305" s="21"/>
      <c r="L305" s="21"/>
      <c r="M305" s="21"/>
    </row>
    <row r="306" spans="4:13" ht="15.75" customHeight="1">
      <c r="D306" s="21"/>
      <c r="E306" s="21"/>
      <c r="F306" s="21"/>
      <c r="I306" s="21"/>
      <c r="K306" s="21"/>
      <c r="L306" s="21"/>
      <c r="M306" s="21"/>
    </row>
    <row r="307" spans="4:13" ht="15.75" customHeight="1">
      <c r="D307" s="21"/>
      <c r="E307" s="21"/>
      <c r="F307" s="21"/>
      <c r="I307" s="21"/>
      <c r="K307" s="21"/>
      <c r="L307" s="21"/>
      <c r="M307" s="21"/>
    </row>
    <row r="308" spans="4:13" ht="15.75" customHeight="1">
      <c r="D308" s="21"/>
      <c r="E308" s="21"/>
      <c r="F308" s="21"/>
      <c r="I308" s="21"/>
      <c r="K308" s="21"/>
      <c r="L308" s="21"/>
      <c r="M308" s="21"/>
    </row>
    <row r="309" spans="4:13" ht="15.75" customHeight="1">
      <c r="D309" s="21"/>
      <c r="E309" s="21"/>
      <c r="F309" s="21"/>
      <c r="I309" s="21"/>
      <c r="K309" s="21"/>
      <c r="L309" s="21"/>
      <c r="M309" s="21"/>
    </row>
    <row r="310" spans="4:13" ht="15.75" customHeight="1">
      <c r="D310" s="21"/>
      <c r="E310" s="21"/>
      <c r="F310" s="21"/>
      <c r="I310" s="21"/>
      <c r="K310" s="21"/>
      <c r="L310" s="21"/>
      <c r="M310" s="21"/>
    </row>
    <row r="311" spans="4:13" ht="15.75" customHeight="1">
      <c r="D311" s="21"/>
      <c r="E311" s="21"/>
      <c r="F311" s="21"/>
      <c r="I311" s="21"/>
      <c r="K311" s="21"/>
      <c r="L311" s="21"/>
      <c r="M311" s="21"/>
    </row>
    <row r="312" spans="4:13" ht="15.75" customHeight="1">
      <c r="D312" s="21"/>
      <c r="E312" s="21"/>
      <c r="F312" s="21"/>
      <c r="I312" s="21"/>
      <c r="K312" s="21"/>
      <c r="L312" s="21"/>
      <c r="M312" s="21"/>
    </row>
    <row r="313" spans="4:13" ht="15.75" customHeight="1">
      <c r="D313" s="21"/>
      <c r="E313" s="21"/>
      <c r="F313" s="21"/>
      <c r="I313" s="21"/>
      <c r="K313" s="21"/>
      <c r="L313" s="21"/>
      <c r="M313" s="21"/>
    </row>
    <row r="314" spans="4:13" ht="15.75" customHeight="1">
      <c r="D314" s="21"/>
      <c r="E314" s="21"/>
      <c r="F314" s="21"/>
      <c r="I314" s="21"/>
      <c r="K314" s="21"/>
      <c r="L314" s="21"/>
      <c r="M314" s="21"/>
    </row>
    <row r="315" spans="4:13" ht="15.75" customHeight="1">
      <c r="D315" s="21"/>
      <c r="E315" s="21"/>
      <c r="F315" s="21"/>
      <c r="I315" s="21"/>
      <c r="K315" s="21"/>
      <c r="L315" s="21"/>
      <c r="M315" s="21"/>
    </row>
    <row r="316" spans="4:13" ht="15.75" customHeight="1">
      <c r="D316" s="21"/>
      <c r="E316" s="21"/>
      <c r="F316" s="21"/>
      <c r="I316" s="21"/>
      <c r="K316" s="21"/>
      <c r="L316" s="21"/>
      <c r="M316" s="21"/>
    </row>
    <row r="317" spans="4:13" ht="15.75" customHeight="1">
      <c r="D317" s="21"/>
      <c r="E317" s="21"/>
      <c r="F317" s="21"/>
      <c r="I317" s="21"/>
      <c r="K317" s="21"/>
      <c r="L317" s="21"/>
      <c r="M317" s="21"/>
    </row>
    <row r="318" spans="4:13" ht="15.75" customHeight="1">
      <c r="D318" s="21"/>
      <c r="E318" s="21"/>
      <c r="F318" s="21"/>
      <c r="I318" s="21"/>
      <c r="K318" s="21"/>
      <c r="L318" s="21"/>
      <c r="M318" s="21"/>
    </row>
    <row r="319" spans="4:13" ht="15.75" customHeight="1">
      <c r="D319" s="21"/>
      <c r="E319" s="21"/>
      <c r="F319" s="21"/>
      <c r="I319" s="21"/>
      <c r="K319" s="21"/>
      <c r="L319" s="21"/>
      <c r="M319" s="21"/>
    </row>
    <row r="320" spans="4:13" ht="15.75" customHeight="1">
      <c r="D320" s="21"/>
      <c r="E320" s="21"/>
      <c r="F320" s="21"/>
      <c r="I320" s="21"/>
      <c r="K320" s="21"/>
      <c r="L320" s="21"/>
      <c r="M320" s="21"/>
    </row>
    <row r="321" spans="4:13" ht="15.75" customHeight="1">
      <c r="D321" s="21"/>
      <c r="E321" s="21"/>
      <c r="F321" s="21"/>
      <c r="I321" s="21"/>
      <c r="K321" s="21"/>
      <c r="L321" s="21"/>
      <c r="M321" s="21"/>
    </row>
    <row r="322" spans="4:13" ht="15.75" customHeight="1">
      <c r="D322" s="21"/>
      <c r="E322" s="21"/>
      <c r="F322" s="21"/>
      <c r="I322" s="21"/>
      <c r="K322" s="21"/>
      <c r="L322" s="21"/>
      <c r="M322" s="21"/>
    </row>
    <row r="323" spans="4:13" ht="15.75" customHeight="1">
      <c r="D323" s="21"/>
      <c r="E323" s="21"/>
      <c r="F323" s="21"/>
      <c r="I323" s="21"/>
      <c r="K323" s="21"/>
      <c r="L323" s="21"/>
      <c r="M323" s="21"/>
    </row>
    <row r="324" spans="4:13" ht="15.75" customHeight="1">
      <c r="D324" s="21"/>
      <c r="E324" s="21"/>
      <c r="F324" s="21"/>
      <c r="I324" s="21"/>
      <c r="K324" s="21"/>
      <c r="L324" s="21"/>
      <c r="M324" s="21"/>
    </row>
    <row r="325" spans="4:13" ht="15.75" customHeight="1">
      <c r="D325" s="21"/>
      <c r="E325" s="21"/>
      <c r="F325" s="21"/>
      <c r="I325" s="21"/>
      <c r="K325" s="21"/>
      <c r="L325" s="21"/>
      <c r="M325" s="21"/>
    </row>
    <row r="326" spans="4:13" ht="15.75" customHeight="1">
      <c r="D326" s="21"/>
      <c r="E326" s="21"/>
      <c r="F326" s="21"/>
      <c r="I326" s="21"/>
      <c r="K326" s="21"/>
      <c r="L326" s="21"/>
      <c r="M326" s="21"/>
    </row>
    <row r="327" spans="4:13" ht="15.75" customHeight="1">
      <c r="D327" s="21"/>
      <c r="E327" s="21"/>
      <c r="F327" s="21"/>
      <c r="I327" s="21"/>
      <c r="K327" s="21"/>
      <c r="L327" s="21"/>
      <c r="M327" s="21"/>
    </row>
    <row r="328" spans="4:13" ht="15.75" customHeight="1">
      <c r="D328" s="21"/>
      <c r="E328" s="21"/>
      <c r="F328" s="21"/>
      <c r="I328" s="21"/>
      <c r="K328" s="21"/>
      <c r="L328" s="21"/>
      <c r="M328" s="21"/>
    </row>
    <row r="329" spans="4:13" ht="15.75" customHeight="1">
      <c r="D329" s="21"/>
      <c r="E329" s="21"/>
      <c r="F329" s="21"/>
      <c r="I329" s="21"/>
      <c r="K329" s="21"/>
      <c r="L329" s="21"/>
      <c r="M329" s="21"/>
    </row>
    <row r="330" spans="4:13" ht="15.75" customHeight="1">
      <c r="D330" s="21"/>
      <c r="E330" s="21"/>
      <c r="F330" s="21"/>
      <c r="I330" s="21"/>
      <c r="K330" s="21"/>
      <c r="L330" s="21"/>
      <c r="M330" s="21"/>
    </row>
    <row r="331" spans="4:13" ht="15.75" customHeight="1">
      <c r="D331" s="21"/>
      <c r="E331" s="21"/>
      <c r="F331" s="21"/>
      <c r="I331" s="21"/>
      <c r="K331" s="21"/>
      <c r="L331" s="21"/>
      <c r="M331" s="21"/>
    </row>
    <row r="332" spans="4:13" ht="15.75" customHeight="1">
      <c r="D332" s="21"/>
      <c r="E332" s="21"/>
      <c r="F332" s="21"/>
      <c r="I332" s="21"/>
      <c r="K332" s="21"/>
      <c r="L332" s="21"/>
      <c r="M332" s="21"/>
    </row>
    <row r="333" spans="4:13" ht="15.75" customHeight="1">
      <c r="D333" s="21"/>
      <c r="E333" s="21"/>
      <c r="F333" s="21"/>
      <c r="I333" s="21"/>
      <c r="K333" s="21"/>
      <c r="L333" s="21"/>
      <c r="M333" s="21"/>
    </row>
    <row r="334" spans="4:13" ht="15.75" customHeight="1">
      <c r="D334" s="21"/>
      <c r="E334" s="21"/>
      <c r="F334" s="21"/>
      <c r="I334" s="21"/>
      <c r="K334" s="21"/>
      <c r="L334" s="21"/>
      <c r="M334" s="21"/>
    </row>
    <row r="335" spans="4:13" ht="15.75" customHeight="1">
      <c r="D335" s="21"/>
      <c r="E335" s="21"/>
      <c r="F335" s="21"/>
      <c r="I335" s="21"/>
      <c r="K335" s="21"/>
      <c r="L335" s="21"/>
      <c r="M335" s="21"/>
    </row>
    <row r="336" spans="4:13" ht="15.75" customHeight="1">
      <c r="D336" s="21"/>
      <c r="E336" s="21"/>
      <c r="F336" s="21"/>
      <c r="I336" s="21"/>
      <c r="K336" s="21"/>
      <c r="L336" s="21"/>
      <c r="M336" s="21"/>
    </row>
    <row r="337" spans="4:13" ht="15.75" customHeight="1">
      <c r="D337" s="21"/>
      <c r="E337" s="21"/>
      <c r="F337" s="21"/>
      <c r="I337" s="21"/>
      <c r="K337" s="21"/>
      <c r="L337" s="21"/>
      <c r="M337" s="21"/>
    </row>
    <row r="338" spans="4:13" ht="15.75" customHeight="1">
      <c r="D338" s="21"/>
      <c r="E338" s="21"/>
      <c r="F338" s="21"/>
      <c r="I338" s="21"/>
      <c r="K338" s="21"/>
      <c r="L338" s="21"/>
      <c r="M338" s="21"/>
    </row>
    <row r="339" spans="4:13" ht="15.75" customHeight="1">
      <c r="D339" s="21"/>
      <c r="E339" s="21"/>
      <c r="F339" s="21"/>
      <c r="I339" s="21"/>
      <c r="K339" s="21"/>
      <c r="L339" s="21"/>
      <c r="M339" s="21"/>
    </row>
    <row r="340" spans="4:13" ht="15.75" customHeight="1">
      <c r="D340" s="21"/>
      <c r="E340" s="21"/>
      <c r="F340" s="21"/>
      <c r="I340" s="21"/>
      <c r="K340" s="21"/>
      <c r="L340" s="21"/>
      <c r="M340" s="21"/>
    </row>
    <row r="341" spans="4:13" ht="15.75" customHeight="1">
      <c r="D341" s="21"/>
      <c r="E341" s="21"/>
      <c r="F341" s="21"/>
      <c r="I341" s="21"/>
      <c r="K341" s="21"/>
      <c r="L341" s="21"/>
      <c r="M341" s="21"/>
    </row>
    <row r="342" spans="4:13" ht="15.75" customHeight="1">
      <c r="D342" s="21"/>
      <c r="E342" s="21"/>
      <c r="F342" s="21"/>
      <c r="I342" s="21"/>
      <c r="K342" s="21"/>
      <c r="L342" s="21"/>
      <c r="M342" s="21"/>
    </row>
    <row r="343" spans="4:13" ht="15.75" customHeight="1">
      <c r="D343" s="21"/>
      <c r="E343" s="21"/>
      <c r="F343" s="21"/>
      <c r="I343" s="21"/>
      <c r="K343" s="21"/>
      <c r="L343" s="21"/>
      <c r="M343" s="21"/>
    </row>
    <row r="344" spans="4:13" ht="15.75" customHeight="1">
      <c r="D344" s="21"/>
      <c r="E344" s="21"/>
      <c r="F344" s="21"/>
      <c r="I344" s="21"/>
      <c r="K344" s="21"/>
      <c r="L344" s="21"/>
      <c r="M344" s="21"/>
    </row>
    <row r="345" spans="4:13" ht="15.75" customHeight="1">
      <c r="D345" s="21"/>
      <c r="E345" s="21"/>
      <c r="F345" s="21"/>
      <c r="I345" s="21"/>
      <c r="K345" s="21"/>
      <c r="L345" s="21"/>
      <c r="M345" s="21"/>
    </row>
    <row r="346" spans="4:13" ht="15.75" customHeight="1">
      <c r="D346" s="21"/>
      <c r="E346" s="21"/>
      <c r="F346" s="21"/>
      <c r="I346" s="21"/>
      <c r="K346" s="21"/>
      <c r="L346" s="21"/>
      <c r="M346" s="21"/>
    </row>
    <row r="347" spans="4:13" ht="15.75" customHeight="1">
      <c r="D347" s="21"/>
      <c r="E347" s="21"/>
      <c r="F347" s="21"/>
      <c r="I347" s="21"/>
      <c r="K347" s="21"/>
      <c r="L347" s="21"/>
      <c r="M347" s="21"/>
    </row>
    <row r="348" spans="4:13" ht="15.75" customHeight="1">
      <c r="D348" s="21"/>
      <c r="E348" s="21"/>
      <c r="F348" s="21"/>
      <c r="I348" s="21"/>
      <c r="K348" s="21"/>
      <c r="L348" s="21"/>
      <c r="M348" s="21"/>
    </row>
    <row r="349" spans="4:13" ht="15.75" customHeight="1">
      <c r="D349" s="21"/>
      <c r="E349" s="21"/>
      <c r="F349" s="21"/>
      <c r="I349" s="21"/>
      <c r="K349" s="21"/>
      <c r="L349" s="21"/>
      <c r="M349" s="21"/>
    </row>
    <row r="350" spans="4:13" ht="15.75" customHeight="1">
      <c r="D350" s="21"/>
      <c r="E350" s="21"/>
      <c r="F350" s="21"/>
      <c r="I350" s="21"/>
      <c r="K350" s="21"/>
      <c r="L350" s="21"/>
      <c r="M350" s="21"/>
    </row>
    <row r="351" spans="4:13" ht="15.75" customHeight="1">
      <c r="D351" s="21"/>
      <c r="E351" s="21"/>
      <c r="F351" s="21"/>
      <c r="I351" s="21"/>
      <c r="K351" s="21"/>
      <c r="L351" s="21"/>
      <c r="M351" s="21"/>
    </row>
    <row r="352" spans="4:13" ht="15.75" customHeight="1">
      <c r="D352" s="21"/>
      <c r="E352" s="21"/>
      <c r="F352" s="21"/>
      <c r="I352" s="21"/>
      <c r="K352" s="21"/>
      <c r="L352" s="21"/>
      <c r="M352" s="21"/>
    </row>
    <row r="353" spans="4:13" ht="15.75" customHeight="1">
      <c r="D353" s="21"/>
      <c r="E353" s="21"/>
      <c r="F353" s="21"/>
      <c r="I353" s="21"/>
      <c r="K353" s="21"/>
      <c r="L353" s="21"/>
      <c r="M353" s="21"/>
    </row>
    <row r="354" spans="4:13" ht="15.75" customHeight="1">
      <c r="D354" s="21"/>
      <c r="E354" s="21"/>
      <c r="F354" s="21"/>
      <c r="I354" s="21"/>
      <c r="K354" s="21"/>
      <c r="L354" s="21"/>
      <c r="M354" s="21"/>
    </row>
    <row r="355" spans="4:13" ht="15.75" customHeight="1">
      <c r="D355" s="21"/>
      <c r="E355" s="21"/>
      <c r="F355" s="21"/>
      <c r="I355" s="21"/>
      <c r="K355" s="21"/>
      <c r="L355" s="21"/>
      <c r="M355" s="21"/>
    </row>
    <row r="356" spans="4:13" ht="15.75" customHeight="1">
      <c r="D356" s="21"/>
      <c r="E356" s="21"/>
      <c r="F356" s="21"/>
      <c r="I356" s="21"/>
      <c r="K356" s="21"/>
      <c r="L356" s="21"/>
      <c r="M356" s="21"/>
    </row>
    <row r="357" spans="4:13" ht="15.75" customHeight="1">
      <c r="D357" s="21"/>
      <c r="E357" s="21"/>
      <c r="F357" s="21"/>
      <c r="I357" s="21"/>
      <c r="K357" s="21"/>
      <c r="L357" s="21"/>
      <c r="M357" s="21"/>
    </row>
    <row r="358" spans="4:13" ht="15.75" customHeight="1">
      <c r="D358" s="21"/>
      <c r="E358" s="21"/>
      <c r="F358" s="21"/>
      <c r="I358" s="21"/>
      <c r="K358" s="21"/>
      <c r="L358" s="21"/>
      <c r="M358" s="21"/>
    </row>
    <row r="359" spans="4:13" ht="15.75" customHeight="1">
      <c r="D359" s="21"/>
      <c r="E359" s="21"/>
      <c r="F359" s="21"/>
      <c r="I359" s="21"/>
      <c r="K359" s="21"/>
      <c r="L359" s="21"/>
      <c r="M359" s="21"/>
    </row>
    <row r="360" spans="4:13" ht="15.75" customHeight="1">
      <c r="D360" s="21"/>
      <c r="E360" s="21"/>
      <c r="F360" s="21"/>
      <c r="I360" s="21"/>
      <c r="K360" s="21"/>
      <c r="L360" s="21"/>
      <c r="M360" s="21"/>
    </row>
    <row r="361" spans="4:13" ht="15.75" customHeight="1">
      <c r="D361" s="21"/>
      <c r="E361" s="21"/>
      <c r="F361" s="21"/>
      <c r="I361" s="21"/>
      <c r="K361" s="21"/>
      <c r="L361" s="21"/>
      <c r="M361" s="21"/>
    </row>
    <row r="362" spans="4:13" ht="15.75" customHeight="1">
      <c r="D362" s="21"/>
      <c r="E362" s="21"/>
      <c r="F362" s="21"/>
      <c r="I362" s="21"/>
      <c r="K362" s="21"/>
      <c r="L362" s="21"/>
      <c r="M362" s="21"/>
    </row>
    <row r="363" spans="4:13" ht="15.75" customHeight="1">
      <c r="D363" s="21"/>
      <c r="E363" s="21"/>
      <c r="F363" s="21"/>
      <c r="I363" s="21"/>
      <c r="K363" s="21"/>
      <c r="L363" s="21"/>
      <c r="M363" s="21"/>
    </row>
    <row r="364" spans="4:13" ht="15.75" customHeight="1">
      <c r="D364" s="21"/>
      <c r="E364" s="21"/>
      <c r="F364" s="21"/>
      <c r="I364" s="21"/>
      <c r="K364" s="21"/>
      <c r="L364" s="21"/>
      <c r="M364" s="21"/>
    </row>
    <row r="365" spans="4:13" ht="15.75" customHeight="1">
      <c r="D365" s="21"/>
      <c r="E365" s="21"/>
      <c r="F365" s="21"/>
      <c r="I365" s="21"/>
      <c r="K365" s="21"/>
      <c r="L365" s="21"/>
      <c r="M365" s="21"/>
    </row>
    <row r="366" spans="4:13" ht="15.75" customHeight="1">
      <c r="D366" s="21"/>
      <c r="E366" s="21"/>
      <c r="F366" s="21"/>
      <c r="I366" s="21"/>
      <c r="K366" s="21"/>
      <c r="L366" s="21"/>
      <c r="M366" s="21"/>
    </row>
    <row r="367" spans="4:13" ht="15.75" customHeight="1">
      <c r="D367" s="21"/>
      <c r="E367" s="21"/>
      <c r="F367" s="21"/>
      <c r="I367" s="21"/>
      <c r="K367" s="21"/>
      <c r="L367" s="21"/>
      <c r="M367" s="21"/>
    </row>
    <row r="368" spans="4:13" ht="15.75" customHeight="1">
      <c r="D368" s="21"/>
      <c r="E368" s="21"/>
      <c r="F368" s="21"/>
      <c r="I368" s="21"/>
      <c r="K368" s="21"/>
      <c r="L368" s="21"/>
      <c r="M368" s="21"/>
    </row>
    <row r="369" spans="4:13" ht="15.75" customHeight="1">
      <c r="D369" s="21"/>
      <c r="E369" s="21"/>
      <c r="F369" s="21"/>
      <c r="I369" s="21"/>
      <c r="K369" s="21"/>
      <c r="L369" s="21"/>
      <c r="M369" s="21"/>
    </row>
    <row r="370" spans="4:13" ht="15.75" customHeight="1">
      <c r="D370" s="21"/>
      <c r="E370" s="21"/>
      <c r="F370" s="21"/>
      <c r="I370" s="21"/>
      <c r="K370" s="21"/>
      <c r="L370" s="21"/>
      <c r="M370" s="21"/>
    </row>
    <row r="371" spans="4:13" ht="15.75" customHeight="1">
      <c r="D371" s="21"/>
      <c r="E371" s="21"/>
      <c r="F371" s="21"/>
      <c r="I371" s="21"/>
      <c r="K371" s="21"/>
      <c r="L371" s="21"/>
      <c r="M371" s="21"/>
    </row>
    <row r="372" spans="4:13" ht="15.75" customHeight="1">
      <c r="D372" s="21"/>
      <c r="E372" s="21"/>
      <c r="F372" s="21"/>
      <c r="I372" s="21"/>
      <c r="K372" s="21"/>
      <c r="L372" s="21"/>
      <c r="M372" s="21"/>
    </row>
    <row r="373" spans="4:13" ht="15.75" customHeight="1">
      <c r="D373" s="21"/>
      <c r="E373" s="21"/>
      <c r="F373" s="21"/>
      <c r="I373" s="21"/>
      <c r="K373" s="21"/>
      <c r="L373" s="21"/>
      <c r="M373" s="21"/>
    </row>
    <row r="374" spans="4:13" ht="15.75" customHeight="1">
      <c r="D374" s="21"/>
      <c r="E374" s="21"/>
      <c r="F374" s="21"/>
      <c r="I374" s="21"/>
      <c r="K374" s="21"/>
      <c r="L374" s="21"/>
      <c r="M374" s="21"/>
    </row>
    <row r="375" spans="4:13" ht="15.75" customHeight="1">
      <c r="D375" s="21"/>
      <c r="E375" s="21"/>
      <c r="F375" s="21"/>
      <c r="I375" s="21"/>
      <c r="K375" s="21"/>
      <c r="L375" s="21"/>
      <c r="M375" s="21"/>
    </row>
    <row r="376" spans="4:13" ht="15.75" customHeight="1">
      <c r="D376" s="21"/>
      <c r="E376" s="21"/>
      <c r="F376" s="21"/>
      <c r="I376" s="21"/>
      <c r="K376" s="21"/>
      <c r="L376" s="21"/>
      <c r="M376" s="21"/>
    </row>
    <row r="377" spans="4:13" ht="15.75" customHeight="1">
      <c r="D377" s="21"/>
      <c r="E377" s="21"/>
      <c r="F377" s="21"/>
      <c r="I377" s="21"/>
      <c r="K377" s="21"/>
      <c r="L377" s="21"/>
      <c r="M377" s="21"/>
    </row>
    <row r="378" spans="4:13" ht="15.75" customHeight="1">
      <c r="D378" s="21"/>
      <c r="E378" s="21"/>
      <c r="F378" s="21"/>
      <c r="I378" s="21"/>
      <c r="K378" s="21"/>
      <c r="L378" s="21"/>
      <c r="M378" s="21"/>
    </row>
    <row r="379" spans="4:13" ht="15.75" customHeight="1">
      <c r="D379" s="21"/>
      <c r="E379" s="21"/>
      <c r="F379" s="21"/>
      <c r="I379" s="21"/>
      <c r="K379" s="21"/>
      <c r="L379" s="21"/>
      <c r="M379" s="21"/>
    </row>
    <row r="380" spans="4:13" ht="15.75" customHeight="1">
      <c r="D380" s="21"/>
      <c r="E380" s="21"/>
      <c r="F380" s="21"/>
      <c r="I380" s="21"/>
      <c r="K380" s="21"/>
      <c r="L380" s="21"/>
      <c r="M380" s="21"/>
    </row>
    <row r="381" spans="4:13" ht="15.75" customHeight="1">
      <c r="D381" s="21"/>
      <c r="E381" s="21"/>
      <c r="F381" s="21"/>
      <c r="I381" s="21"/>
      <c r="K381" s="21"/>
      <c r="L381" s="21"/>
      <c r="M381" s="21"/>
    </row>
    <row r="382" spans="4:13" ht="15.75" customHeight="1">
      <c r="D382" s="21"/>
      <c r="E382" s="21"/>
      <c r="F382" s="21"/>
      <c r="I382" s="21"/>
      <c r="K382" s="21"/>
      <c r="L382" s="21"/>
      <c r="M382" s="21"/>
    </row>
    <row r="383" spans="4:13" ht="15.75" customHeight="1">
      <c r="D383" s="21"/>
      <c r="E383" s="21"/>
      <c r="F383" s="21"/>
      <c r="I383" s="21"/>
      <c r="K383" s="21"/>
      <c r="L383" s="21"/>
      <c r="M383" s="21"/>
    </row>
    <row r="384" spans="4:13" ht="15.75" customHeight="1">
      <c r="D384" s="21"/>
      <c r="E384" s="21"/>
      <c r="F384" s="21"/>
      <c r="I384" s="21"/>
      <c r="K384" s="21"/>
      <c r="L384" s="21"/>
      <c r="M384" s="21"/>
    </row>
    <row r="385" spans="4:13" ht="15.75" customHeight="1">
      <c r="D385" s="21"/>
      <c r="E385" s="21"/>
      <c r="F385" s="21"/>
      <c r="I385" s="21"/>
      <c r="K385" s="21"/>
      <c r="L385" s="21"/>
      <c r="M385" s="21"/>
    </row>
    <row r="386" spans="4:13" ht="15.75" customHeight="1">
      <c r="D386" s="21"/>
      <c r="E386" s="21"/>
      <c r="F386" s="21"/>
      <c r="I386" s="21"/>
      <c r="K386" s="21"/>
      <c r="L386" s="21"/>
      <c r="M386" s="21"/>
    </row>
    <row r="387" spans="4:13" ht="15.75" customHeight="1">
      <c r="D387" s="21"/>
      <c r="E387" s="21"/>
      <c r="F387" s="21"/>
      <c r="I387" s="21"/>
      <c r="K387" s="21"/>
      <c r="L387" s="21"/>
      <c r="M387" s="21"/>
    </row>
    <row r="388" spans="4:13" ht="15.75" customHeight="1">
      <c r="D388" s="21"/>
      <c r="E388" s="21"/>
      <c r="F388" s="21"/>
      <c r="I388" s="21"/>
      <c r="K388" s="21"/>
      <c r="L388" s="21"/>
      <c r="M388" s="21"/>
    </row>
    <row r="389" spans="4:13" ht="15.75" customHeight="1">
      <c r="D389" s="21"/>
      <c r="E389" s="21"/>
      <c r="F389" s="21"/>
      <c r="I389" s="21"/>
      <c r="K389" s="21"/>
      <c r="L389" s="21"/>
      <c r="M389" s="21"/>
    </row>
    <row r="390" spans="4:13" ht="15.75" customHeight="1">
      <c r="D390" s="21"/>
      <c r="E390" s="21"/>
      <c r="F390" s="21"/>
      <c r="I390" s="21"/>
      <c r="K390" s="21"/>
      <c r="L390" s="21"/>
      <c r="M390" s="21"/>
    </row>
    <row r="391" spans="4:13" ht="15.75" customHeight="1">
      <c r="D391" s="21"/>
      <c r="E391" s="21"/>
      <c r="F391" s="21"/>
      <c r="I391" s="21"/>
      <c r="K391" s="21"/>
      <c r="L391" s="21"/>
      <c r="M391" s="21"/>
    </row>
    <row r="392" spans="4:13" ht="15.75" customHeight="1">
      <c r="D392" s="21"/>
      <c r="E392" s="21"/>
      <c r="F392" s="21"/>
      <c r="I392" s="21"/>
      <c r="K392" s="21"/>
      <c r="L392" s="21"/>
      <c r="M392" s="21"/>
    </row>
    <row r="393" spans="4:13" ht="15.75" customHeight="1">
      <c r="D393" s="21"/>
      <c r="E393" s="21"/>
      <c r="F393" s="21"/>
      <c r="I393" s="21"/>
      <c r="K393" s="21"/>
      <c r="L393" s="21"/>
      <c r="M393" s="21"/>
    </row>
    <row r="394" spans="4:13" ht="15.75" customHeight="1">
      <c r="D394" s="21"/>
      <c r="E394" s="21"/>
      <c r="F394" s="21"/>
      <c r="I394" s="21"/>
      <c r="K394" s="21"/>
      <c r="L394" s="21"/>
      <c r="M394" s="21"/>
    </row>
    <row r="395" spans="4:13" ht="15.75" customHeight="1">
      <c r="D395" s="21"/>
      <c r="E395" s="21"/>
      <c r="F395" s="21"/>
      <c r="I395" s="21"/>
      <c r="K395" s="21"/>
      <c r="L395" s="21"/>
      <c r="M395" s="21"/>
    </row>
    <row r="396" spans="4:13" ht="15.75" customHeight="1">
      <c r="D396" s="21"/>
      <c r="E396" s="21"/>
      <c r="F396" s="21"/>
      <c r="I396" s="21"/>
      <c r="K396" s="21"/>
      <c r="L396" s="21"/>
      <c r="M396" s="21"/>
    </row>
    <row r="397" spans="4:13" ht="15.75" customHeight="1">
      <c r="D397" s="21"/>
      <c r="E397" s="21"/>
      <c r="F397" s="21"/>
      <c r="I397" s="21"/>
      <c r="K397" s="21"/>
      <c r="L397" s="21"/>
      <c r="M397" s="21"/>
    </row>
    <row r="398" spans="4:13" ht="15.75" customHeight="1">
      <c r="D398" s="21"/>
      <c r="E398" s="21"/>
      <c r="F398" s="21"/>
      <c r="I398" s="21"/>
      <c r="K398" s="21"/>
      <c r="L398" s="21"/>
      <c r="M398" s="21"/>
    </row>
    <row r="399" spans="4:13" ht="15.75" customHeight="1">
      <c r="D399" s="21"/>
      <c r="E399" s="21"/>
      <c r="F399" s="21"/>
      <c r="I399" s="21"/>
      <c r="K399" s="21"/>
      <c r="L399" s="21"/>
      <c r="M399" s="21"/>
    </row>
    <row r="400" spans="4:13" ht="15.75" customHeight="1">
      <c r="D400" s="21"/>
      <c r="E400" s="21"/>
      <c r="F400" s="21"/>
      <c r="I400" s="21"/>
      <c r="K400" s="21"/>
      <c r="L400" s="21"/>
      <c r="M400" s="21"/>
    </row>
    <row r="401" spans="4:13" ht="15.75" customHeight="1">
      <c r="D401" s="21"/>
      <c r="E401" s="21"/>
      <c r="F401" s="21"/>
      <c r="I401" s="21"/>
      <c r="K401" s="21"/>
      <c r="L401" s="21"/>
      <c r="M401" s="21"/>
    </row>
    <row r="402" spans="4:13" ht="15.75" customHeight="1">
      <c r="D402" s="21"/>
      <c r="E402" s="21"/>
      <c r="F402" s="21"/>
      <c r="I402" s="21"/>
      <c r="K402" s="21"/>
      <c r="L402" s="21"/>
      <c r="M402" s="21"/>
    </row>
    <row r="403" spans="4:13" ht="15.75" customHeight="1">
      <c r="D403" s="21"/>
      <c r="E403" s="21"/>
      <c r="F403" s="21"/>
      <c r="I403" s="21"/>
      <c r="K403" s="21"/>
      <c r="L403" s="21"/>
      <c r="M403" s="21"/>
    </row>
    <row r="404" spans="4:13" ht="15.75" customHeight="1">
      <c r="D404" s="21"/>
      <c r="E404" s="21"/>
      <c r="F404" s="21"/>
      <c r="I404" s="21"/>
      <c r="K404" s="21"/>
      <c r="L404" s="21"/>
      <c r="M404" s="21"/>
    </row>
    <row r="405" spans="4:13" ht="15.75" customHeight="1">
      <c r="D405" s="21"/>
      <c r="E405" s="21"/>
      <c r="F405" s="21"/>
      <c r="I405" s="21"/>
      <c r="K405" s="21"/>
      <c r="L405" s="21"/>
      <c r="M405" s="21"/>
    </row>
    <row r="406" spans="4:13" ht="15.75" customHeight="1">
      <c r="D406" s="21"/>
      <c r="E406" s="21"/>
      <c r="F406" s="21"/>
      <c r="I406" s="21"/>
      <c r="K406" s="21"/>
      <c r="L406" s="21"/>
      <c r="M406" s="21"/>
    </row>
    <row r="407" spans="4:13" ht="15.75" customHeight="1">
      <c r="D407" s="21"/>
      <c r="E407" s="21"/>
      <c r="F407" s="21"/>
      <c r="I407" s="21"/>
      <c r="K407" s="21"/>
      <c r="L407" s="21"/>
      <c r="M407" s="21"/>
    </row>
    <row r="408" spans="4:13" ht="15.75" customHeight="1">
      <c r="D408" s="21"/>
      <c r="E408" s="21"/>
      <c r="F408" s="21"/>
      <c r="I408" s="21"/>
      <c r="K408" s="21"/>
      <c r="L408" s="21"/>
      <c r="M408" s="21"/>
    </row>
    <row r="409" spans="4:13" ht="15.75" customHeight="1">
      <c r="D409" s="21"/>
      <c r="E409" s="21"/>
      <c r="F409" s="21"/>
      <c r="I409" s="21"/>
      <c r="K409" s="21"/>
      <c r="L409" s="21"/>
      <c r="M409" s="21"/>
    </row>
    <row r="410" spans="4:13" ht="15.75" customHeight="1">
      <c r="D410" s="21"/>
      <c r="E410" s="21"/>
      <c r="F410" s="21"/>
      <c r="I410" s="21"/>
      <c r="K410" s="21"/>
      <c r="L410" s="21"/>
      <c r="M410" s="21"/>
    </row>
    <row r="411" spans="4:13" ht="15.75" customHeight="1">
      <c r="D411" s="21"/>
      <c r="E411" s="21"/>
      <c r="F411" s="21"/>
      <c r="I411" s="21"/>
      <c r="K411" s="21"/>
      <c r="L411" s="21"/>
      <c r="M411" s="21"/>
    </row>
    <row r="412" spans="4:13" ht="15.75" customHeight="1">
      <c r="D412" s="21"/>
      <c r="E412" s="21"/>
      <c r="F412" s="21"/>
      <c r="I412" s="21"/>
      <c r="K412" s="21"/>
      <c r="L412" s="21"/>
      <c r="M412" s="21"/>
    </row>
    <row r="413" spans="4:13" ht="15.75" customHeight="1">
      <c r="D413" s="21"/>
      <c r="E413" s="21"/>
      <c r="F413" s="21"/>
      <c r="I413" s="21"/>
      <c r="K413" s="21"/>
      <c r="L413" s="21"/>
      <c r="M413" s="21"/>
    </row>
    <row r="414" spans="4:13" ht="15.75" customHeight="1">
      <c r="D414" s="21"/>
      <c r="E414" s="21"/>
      <c r="F414" s="21"/>
      <c r="I414" s="21"/>
      <c r="K414" s="21"/>
      <c r="L414" s="21"/>
      <c r="M414" s="21"/>
    </row>
    <row r="415" spans="4:13" ht="15.75" customHeight="1">
      <c r="D415" s="21"/>
      <c r="E415" s="21"/>
      <c r="F415" s="21"/>
      <c r="I415" s="21"/>
      <c r="K415" s="21"/>
      <c r="L415" s="21"/>
      <c r="M415" s="21"/>
    </row>
    <row r="416" spans="4:13" ht="15.75" customHeight="1">
      <c r="D416" s="21"/>
      <c r="E416" s="21"/>
      <c r="F416" s="21"/>
      <c r="I416" s="21"/>
      <c r="K416" s="21"/>
      <c r="L416" s="21"/>
      <c r="M416" s="21"/>
    </row>
    <row r="417" spans="4:13" ht="15.75" customHeight="1">
      <c r="D417" s="21"/>
      <c r="E417" s="21"/>
      <c r="F417" s="21"/>
      <c r="I417" s="21"/>
      <c r="K417" s="21"/>
      <c r="L417" s="21"/>
      <c r="M417" s="21"/>
    </row>
    <row r="418" spans="4:13" ht="15.75" customHeight="1">
      <c r="D418" s="21"/>
      <c r="E418" s="21"/>
      <c r="F418" s="21"/>
      <c r="I418" s="21"/>
      <c r="K418" s="21"/>
      <c r="L418" s="21"/>
      <c r="M418" s="21"/>
    </row>
    <row r="419" spans="4:13" ht="15.75" customHeight="1">
      <c r="D419" s="21"/>
      <c r="E419" s="21"/>
      <c r="F419" s="21"/>
      <c r="I419" s="21"/>
      <c r="K419" s="21"/>
      <c r="L419" s="21"/>
      <c r="M419" s="21"/>
    </row>
    <row r="420" spans="4:13" ht="15.75" customHeight="1">
      <c r="D420" s="21"/>
      <c r="E420" s="21"/>
      <c r="F420" s="21"/>
      <c r="I420" s="21"/>
      <c r="K420" s="21"/>
      <c r="L420" s="21"/>
      <c r="M420" s="21"/>
    </row>
    <row r="421" spans="4:13" ht="15.75" customHeight="1">
      <c r="D421" s="21"/>
      <c r="E421" s="21"/>
      <c r="F421" s="21"/>
      <c r="I421" s="21"/>
      <c r="K421" s="21"/>
      <c r="L421" s="21"/>
      <c r="M421" s="21"/>
    </row>
    <row r="422" spans="4:13" ht="15.75" customHeight="1">
      <c r="D422" s="21"/>
      <c r="E422" s="21"/>
      <c r="F422" s="21"/>
      <c r="I422" s="21"/>
      <c r="K422" s="21"/>
      <c r="L422" s="21"/>
      <c r="M422" s="21"/>
    </row>
    <row r="423" spans="4:13" ht="15.75" customHeight="1">
      <c r="D423" s="21"/>
      <c r="E423" s="21"/>
      <c r="F423" s="21"/>
      <c r="I423" s="21"/>
      <c r="K423" s="21"/>
      <c r="L423" s="21"/>
      <c r="M423" s="21"/>
    </row>
    <row r="424" spans="4:13" ht="15.75" customHeight="1">
      <c r="D424" s="21"/>
      <c r="E424" s="21"/>
      <c r="F424" s="21"/>
      <c r="I424" s="21"/>
      <c r="K424" s="21"/>
      <c r="L424" s="21"/>
      <c r="M424" s="21"/>
    </row>
    <row r="425" spans="4:13" ht="15.75" customHeight="1">
      <c r="D425" s="21"/>
      <c r="E425" s="21"/>
      <c r="F425" s="21"/>
      <c r="I425" s="21"/>
      <c r="K425" s="21"/>
      <c r="L425" s="21"/>
      <c r="M425" s="21"/>
    </row>
    <row r="426" spans="4:13" ht="15.75" customHeight="1">
      <c r="D426" s="21"/>
      <c r="E426" s="21"/>
      <c r="F426" s="21"/>
      <c r="I426" s="21"/>
      <c r="K426" s="21"/>
      <c r="L426" s="21"/>
      <c r="M426" s="21"/>
    </row>
    <row r="427" spans="4:13" ht="15.75" customHeight="1">
      <c r="D427" s="21"/>
      <c r="E427" s="21"/>
      <c r="F427" s="21"/>
      <c r="I427" s="21"/>
      <c r="K427" s="21"/>
      <c r="L427" s="21"/>
      <c r="M427" s="21"/>
    </row>
    <row r="428" spans="4:13" ht="15.75" customHeight="1">
      <c r="D428" s="21"/>
      <c r="E428" s="21"/>
      <c r="F428" s="21"/>
      <c r="I428" s="21"/>
      <c r="K428" s="21"/>
      <c r="L428" s="21"/>
      <c r="M428" s="21"/>
    </row>
    <row r="429" spans="4:13" ht="15.75" customHeight="1">
      <c r="D429" s="21"/>
      <c r="E429" s="21"/>
      <c r="F429" s="21"/>
      <c r="I429" s="21"/>
      <c r="K429" s="21"/>
      <c r="L429" s="21"/>
      <c r="M429" s="21"/>
    </row>
    <row r="430" spans="4:13" ht="15.75" customHeight="1">
      <c r="D430" s="21"/>
      <c r="E430" s="21"/>
      <c r="F430" s="21"/>
      <c r="I430" s="21"/>
      <c r="K430" s="21"/>
      <c r="L430" s="21"/>
      <c r="M430" s="21"/>
    </row>
    <row r="431" spans="4:13" ht="15.75" customHeight="1">
      <c r="D431" s="21"/>
      <c r="E431" s="21"/>
      <c r="F431" s="21"/>
      <c r="I431" s="21"/>
      <c r="K431" s="21"/>
      <c r="L431" s="21"/>
      <c r="M431" s="21"/>
    </row>
    <row r="432" spans="4:13" ht="15.75" customHeight="1">
      <c r="D432" s="21"/>
      <c r="E432" s="21"/>
      <c r="F432" s="21"/>
      <c r="I432" s="21"/>
      <c r="K432" s="21"/>
      <c r="L432" s="21"/>
      <c r="M432" s="21"/>
    </row>
    <row r="433" spans="4:13" ht="15.75" customHeight="1">
      <c r="D433" s="21"/>
      <c r="E433" s="21"/>
      <c r="F433" s="21"/>
      <c r="I433" s="21"/>
      <c r="K433" s="21"/>
      <c r="L433" s="21"/>
      <c r="M433" s="21"/>
    </row>
    <row r="434" spans="4:13" ht="15.75" customHeight="1">
      <c r="D434" s="21"/>
      <c r="E434" s="21"/>
      <c r="F434" s="21"/>
      <c r="I434" s="21"/>
      <c r="K434" s="21"/>
      <c r="L434" s="21"/>
      <c r="M434" s="21"/>
    </row>
    <row r="435" spans="4:13" ht="15.75" customHeight="1">
      <c r="D435" s="21"/>
      <c r="E435" s="21"/>
      <c r="F435" s="21"/>
      <c r="I435" s="21"/>
      <c r="K435" s="21"/>
      <c r="L435" s="21"/>
      <c r="M435" s="21"/>
    </row>
    <row r="436" spans="4:13" ht="15.75" customHeight="1">
      <c r="D436" s="21"/>
      <c r="E436" s="21"/>
      <c r="F436" s="21"/>
      <c r="I436" s="21"/>
      <c r="K436" s="21"/>
      <c r="L436" s="21"/>
      <c r="M436" s="21"/>
    </row>
    <row r="437" spans="4:13" ht="15.75" customHeight="1">
      <c r="D437" s="21"/>
      <c r="E437" s="21"/>
      <c r="F437" s="21"/>
      <c r="I437" s="21"/>
      <c r="K437" s="21"/>
      <c r="L437" s="21"/>
      <c r="M437" s="21"/>
    </row>
    <row r="438" spans="4:13" ht="15.75" customHeight="1">
      <c r="D438" s="21"/>
      <c r="E438" s="21"/>
      <c r="F438" s="21"/>
      <c r="I438" s="21"/>
      <c r="K438" s="21"/>
      <c r="L438" s="21"/>
      <c r="M438" s="21"/>
    </row>
    <row r="439" spans="4:13" ht="15.75" customHeight="1">
      <c r="D439" s="21"/>
      <c r="E439" s="21"/>
      <c r="F439" s="21"/>
      <c r="I439" s="21"/>
      <c r="K439" s="21"/>
      <c r="L439" s="21"/>
      <c r="M439" s="21"/>
    </row>
    <row r="440" spans="4:13" ht="15.75" customHeight="1">
      <c r="D440" s="21"/>
      <c r="E440" s="21"/>
      <c r="F440" s="21"/>
      <c r="I440" s="21"/>
      <c r="K440" s="21"/>
      <c r="L440" s="21"/>
      <c r="M440" s="21"/>
    </row>
    <row r="441" spans="4:13" ht="15.75" customHeight="1">
      <c r="D441" s="21"/>
      <c r="E441" s="21"/>
      <c r="F441" s="21"/>
      <c r="I441" s="21"/>
      <c r="K441" s="21"/>
      <c r="L441" s="21"/>
      <c r="M441" s="21"/>
    </row>
    <row r="442" spans="4:13" ht="15.75" customHeight="1">
      <c r="D442" s="21"/>
      <c r="E442" s="21"/>
      <c r="F442" s="21"/>
      <c r="I442" s="21"/>
      <c r="K442" s="21"/>
      <c r="L442" s="21"/>
      <c r="M442" s="21"/>
    </row>
    <row r="443" spans="4:13" ht="15.75" customHeight="1">
      <c r="D443" s="21"/>
      <c r="E443" s="21"/>
      <c r="F443" s="21"/>
      <c r="I443" s="21"/>
      <c r="K443" s="21"/>
      <c r="L443" s="21"/>
      <c r="M443" s="21"/>
    </row>
    <row r="444" spans="4:13" ht="15.75" customHeight="1">
      <c r="D444" s="21"/>
      <c r="E444" s="21"/>
      <c r="F444" s="21"/>
      <c r="I444" s="21"/>
      <c r="K444" s="21"/>
      <c r="L444" s="21"/>
      <c r="M444" s="21"/>
    </row>
    <row r="445" spans="4:13" ht="15.75" customHeight="1">
      <c r="D445" s="21"/>
      <c r="E445" s="21"/>
      <c r="F445" s="21"/>
      <c r="I445" s="21"/>
      <c r="K445" s="21"/>
      <c r="L445" s="21"/>
      <c r="M445" s="21"/>
    </row>
    <row r="446" spans="4:13" ht="15.75" customHeight="1">
      <c r="D446" s="21"/>
      <c r="E446" s="21"/>
      <c r="F446" s="21"/>
      <c r="I446" s="21"/>
      <c r="K446" s="21"/>
      <c r="L446" s="21"/>
      <c r="M446" s="21"/>
    </row>
    <row r="447" spans="4:13" ht="15.75" customHeight="1">
      <c r="D447" s="21"/>
      <c r="E447" s="21"/>
      <c r="F447" s="21"/>
      <c r="I447" s="21"/>
      <c r="K447" s="21"/>
      <c r="L447" s="21"/>
      <c r="M447" s="21"/>
    </row>
    <row r="448" spans="4:13" ht="15.75" customHeight="1">
      <c r="D448" s="21"/>
      <c r="E448" s="21"/>
      <c r="F448" s="21"/>
      <c r="I448" s="21"/>
      <c r="K448" s="21"/>
      <c r="L448" s="21"/>
      <c r="M448" s="21"/>
    </row>
    <row r="449" spans="4:13" ht="15.75" customHeight="1">
      <c r="D449" s="21"/>
      <c r="E449" s="21"/>
      <c r="F449" s="21"/>
      <c r="I449" s="21"/>
      <c r="K449" s="21"/>
      <c r="L449" s="21"/>
      <c r="M449" s="21"/>
    </row>
    <row r="450" spans="4:13" ht="15.75" customHeight="1">
      <c r="D450" s="21"/>
      <c r="E450" s="21"/>
      <c r="F450" s="21"/>
      <c r="I450" s="21"/>
      <c r="K450" s="21"/>
      <c r="L450" s="21"/>
      <c r="M450" s="21"/>
    </row>
    <row r="451" spans="4:13" ht="15.75" customHeight="1">
      <c r="D451" s="21"/>
      <c r="E451" s="21"/>
      <c r="F451" s="21"/>
      <c r="I451" s="21"/>
      <c r="K451" s="21"/>
      <c r="L451" s="21"/>
      <c r="M451" s="21"/>
    </row>
    <row r="452" spans="4:13" ht="15.75" customHeight="1">
      <c r="D452" s="21"/>
      <c r="E452" s="21"/>
      <c r="F452" s="21"/>
      <c r="I452" s="21"/>
      <c r="K452" s="21"/>
      <c r="L452" s="21"/>
      <c r="M452" s="21"/>
    </row>
    <row r="453" spans="4:13" ht="15.75" customHeight="1">
      <c r="D453" s="21"/>
      <c r="E453" s="21"/>
      <c r="F453" s="21"/>
      <c r="I453" s="21"/>
      <c r="K453" s="21"/>
      <c r="L453" s="21"/>
      <c r="M453" s="21"/>
    </row>
    <row r="454" spans="4:13" ht="15.75" customHeight="1">
      <c r="D454" s="21"/>
      <c r="E454" s="21"/>
      <c r="F454" s="21"/>
      <c r="I454" s="21"/>
      <c r="K454" s="21"/>
      <c r="L454" s="21"/>
      <c r="M454" s="21"/>
    </row>
    <row r="455" spans="4:13" ht="15.75" customHeight="1">
      <c r="D455" s="21"/>
      <c r="E455" s="21"/>
      <c r="F455" s="21"/>
      <c r="I455" s="21"/>
      <c r="K455" s="21"/>
      <c r="L455" s="21"/>
      <c r="M455" s="21"/>
    </row>
    <row r="456" spans="4:13" ht="15.75" customHeight="1">
      <c r="D456" s="21"/>
      <c r="E456" s="21"/>
      <c r="F456" s="21"/>
      <c r="I456" s="21"/>
      <c r="K456" s="21"/>
      <c r="L456" s="21"/>
      <c r="M456" s="21"/>
    </row>
    <row r="457" spans="4:13" ht="15.75" customHeight="1">
      <c r="D457" s="21"/>
      <c r="E457" s="21"/>
      <c r="F457" s="21"/>
      <c r="I457" s="21"/>
      <c r="K457" s="21"/>
      <c r="L457" s="21"/>
      <c r="M457" s="21"/>
    </row>
    <row r="458" spans="4:13" ht="15.75" customHeight="1">
      <c r="D458" s="21"/>
      <c r="E458" s="21"/>
      <c r="F458" s="21"/>
      <c r="I458" s="21"/>
      <c r="K458" s="21"/>
      <c r="L458" s="21"/>
      <c r="M458" s="21"/>
    </row>
    <row r="459" spans="4:13" ht="15.75" customHeight="1">
      <c r="D459" s="21"/>
      <c r="E459" s="21"/>
      <c r="F459" s="21"/>
      <c r="I459" s="21"/>
      <c r="K459" s="21"/>
      <c r="L459" s="21"/>
      <c r="M459" s="21"/>
    </row>
    <row r="460" spans="4:13" ht="15.75" customHeight="1">
      <c r="D460" s="21"/>
      <c r="E460" s="21"/>
      <c r="F460" s="21"/>
      <c r="I460" s="21"/>
      <c r="K460" s="21"/>
      <c r="L460" s="21"/>
      <c r="M460" s="21"/>
    </row>
    <row r="461" spans="4:13" ht="15.75" customHeight="1">
      <c r="D461" s="21"/>
      <c r="E461" s="21"/>
      <c r="F461" s="21"/>
      <c r="I461" s="21"/>
      <c r="K461" s="21"/>
      <c r="L461" s="21"/>
      <c r="M461" s="21"/>
    </row>
    <row r="462" spans="4:13" ht="15.75" customHeight="1">
      <c r="D462" s="21"/>
      <c r="E462" s="21"/>
      <c r="F462" s="21"/>
      <c r="I462" s="21"/>
      <c r="K462" s="21"/>
      <c r="L462" s="21"/>
      <c r="M462" s="21"/>
    </row>
    <row r="463" spans="4:13" ht="15.75" customHeight="1">
      <c r="D463" s="21"/>
      <c r="E463" s="21"/>
      <c r="F463" s="21"/>
      <c r="I463" s="21"/>
      <c r="K463" s="21"/>
      <c r="L463" s="21"/>
      <c r="M463" s="21"/>
    </row>
    <row r="464" spans="4:13" ht="15.75" customHeight="1">
      <c r="D464" s="21"/>
      <c r="E464" s="21"/>
      <c r="F464" s="21"/>
      <c r="I464" s="21"/>
      <c r="K464" s="21"/>
      <c r="L464" s="21"/>
      <c r="M464" s="21"/>
    </row>
    <row r="465" spans="4:13" ht="15.75" customHeight="1">
      <c r="D465" s="21"/>
      <c r="E465" s="21"/>
      <c r="F465" s="21"/>
      <c r="I465" s="21"/>
      <c r="K465" s="21"/>
      <c r="L465" s="21"/>
      <c r="M465" s="21"/>
    </row>
    <row r="466" spans="4:13" ht="15.75" customHeight="1">
      <c r="D466" s="21"/>
      <c r="E466" s="21"/>
      <c r="F466" s="21"/>
      <c r="I466" s="21"/>
      <c r="K466" s="21"/>
      <c r="L466" s="21"/>
      <c r="M466" s="21"/>
    </row>
    <row r="467" spans="4:13" ht="15.75" customHeight="1">
      <c r="D467" s="21"/>
      <c r="E467" s="21"/>
      <c r="F467" s="21"/>
      <c r="I467" s="21"/>
      <c r="K467" s="21"/>
      <c r="L467" s="21"/>
      <c r="M467" s="21"/>
    </row>
    <row r="468" spans="4:13" ht="15.75" customHeight="1">
      <c r="D468" s="21"/>
      <c r="E468" s="21"/>
      <c r="F468" s="21"/>
      <c r="I468" s="21"/>
      <c r="K468" s="21"/>
      <c r="L468" s="21"/>
      <c r="M468" s="21"/>
    </row>
    <row r="469" spans="4:13" ht="15.75" customHeight="1">
      <c r="D469" s="21"/>
      <c r="E469" s="21"/>
      <c r="F469" s="21"/>
      <c r="I469" s="21"/>
      <c r="K469" s="21"/>
      <c r="L469" s="21"/>
      <c r="M469" s="21"/>
    </row>
    <row r="470" spans="4:13" ht="15.75" customHeight="1">
      <c r="D470" s="21"/>
      <c r="E470" s="21"/>
      <c r="F470" s="21"/>
      <c r="I470" s="21"/>
      <c r="K470" s="21"/>
      <c r="L470" s="21"/>
      <c r="M470" s="21"/>
    </row>
    <row r="471" spans="4:13" ht="15.75" customHeight="1">
      <c r="D471" s="21"/>
      <c r="E471" s="21"/>
      <c r="F471" s="21"/>
      <c r="I471" s="21"/>
      <c r="K471" s="21"/>
      <c r="L471" s="21"/>
      <c r="M471" s="21"/>
    </row>
    <row r="472" spans="4:13" ht="15.75" customHeight="1">
      <c r="D472" s="21"/>
      <c r="E472" s="21"/>
      <c r="F472" s="21"/>
      <c r="I472" s="21"/>
      <c r="K472" s="21"/>
      <c r="L472" s="21"/>
      <c r="M472" s="21"/>
    </row>
    <row r="473" spans="4:13" ht="15.75" customHeight="1">
      <c r="D473" s="21"/>
      <c r="E473" s="21"/>
      <c r="F473" s="21"/>
      <c r="I473" s="21"/>
      <c r="K473" s="21"/>
      <c r="L473" s="21"/>
      <c r="M473" s="21"/>
    </row>
    <row r="474" spans="4:13" ht="15.75" customHeight="1">
      <c r="D474" s="21"/>
      <c r="E474" s="21"/>
      <c r="F474" s="21"/>
      <c r="I474" s="21"/>
      <c r="K474" s="21"/>
      <c r="L474" s="21"/>
      <c r="M474" s="21"/>
    </row>
    <row r="475" spans="4:13" ht="15.75" customHeight="1">
      <c r="D475" s="21"/>
      <c r="E475" s="21"/>
      <c r="F475" s="21"/>
      <c r="I475" s="21"/>
      <c r="K475" s="21"/>
      <c r="L475" s="21"/>
      <c r="M475" s="21"/>
    </row>
    <row r="476" spans="4:13" ht="15.75" customHeight="1">
      <c r="D476" s="21"/>
      <c r="E476" s="21"/>
      <c r="F476" s="21"/>
      <c r="I476" s="21"/>
      <c r="K476" s="21"/>
      <c r="L476" s="21"/>
      <c r="M476" s="21"/>
    </row>
    <row r="477" spans="4:13" ht="15.75" customHeight="1">
      <c r="D477" s="21"/>
      <c r="E477" s="21"/>
      <c r="F477" s="21"/>
      <c r="I477" s="21"/>
      <c r="K477" s="21"/>
      <c r="L477" s="21"/>
      <c r="M477" s="21"/>
    </row>
    <row r="478" spans="4:13" ht="15.75" customHeight="1">
      <c r="D478" s="21"/>
      <c r="E478" s="21"/>
      <c r="F478" s="21"/>
      <c r="I478" s="21"/>
      <c r="K478" s="21"/>
      <c r="L478" s="21"/>
      <c r="M478" s="21"/>
    </row>
    <row r="479" spans="4:13" ht="15.75" customHeight="1">
      <c r="D479" s="21"/>
      <c r="E479" s="21"/>
      <c r="F479" s="21"/>
      <c r="I479" s="21"/>
      <c r="K479" s="21"/>
      <c r="L479" s="21"/>
      <c r="M479" s="21"/>
    </row>
    <row r="480" spans="4:13" ht="15.75" customHeight="1">
      <c r="D480" s="21"/>
      <c r="E480" s="21"/>
      <c r="F480" s="21"/>
      <c r="I480" s="21"/>
      <c r="K480" s="21"/>
      <c r="L480" s="21"/>
      <c r="M480" s="21"/>
    </row>
    <row r="481" spans="4:13" ht="15.75" customHeight="1">
      <c r="D481" s="21"/>
      <c r="E481" s="21"/>
      <c r="F481" s="21"/>
      <c r="I481" s="21"/>
      <c r="K481" s="21"/>
      <c r="L481" s="21"/>
      <c r="M481" s="21"/>
    </row>
    <row r="482" spans="4:13" ht="15.75" customHeight="1">
      <c r="D482" s="21"/>
      <c r="E482" s="21"/>
      <c r="F482" s="21"/>
      <c r="I482" s="21"/>
      <c r="K482" s="21"/>
      <c r="L482" s="21"/>
      <c r="M482" s="21"/>
    </row>
    <row r="483" spans="4:13" ht="15.75" customHeight="1">
      <c r="D483" s="21"/>
      <c r="E483" s="21"/>
      <c r="F483" s="21"/>
      <c r="I483" s="21"/>
      <c r="K483" s="21"/>
      <c r="L483" s="21"/>
      <c r="M483" s="21"/>
    </row>
    <row r="484" spans="4:13" ht="15.75" customHeight="1">
      <c r="D484" s="21"/>
      <c r="E484" s="21"/>
      <c r="F484" s="21"/>
      <c r="I484" s="21"/>
      <c r="K484" s="21"/>
      <c r="L484" s="21"/>
      <c r="M484" s="21"/>
    </row>
    <row r="485" spans="4:13" ht="15.75" customHeight="1">
      <c r="D485" s="21"/>
      <c r="E485" s="21"/>
      <c r="F485" s="21"/>
      <c r="I485" s="21"/>
      <c r="K485" s="21"/>
      <c r="L485" s="21"/>
      <c r="M485" s="21"/>
    </row>
    <row r="486" spans="4:13" ht="15.75" customHeight="1">
      <c r="D486" s="21"/>
      <c r="E486" s="21"/>
      <c r="F486" s="21"/>
      <c r="I486" s="21"/>
      <c r="K486" s="21"/>
      <c r="L486" s="21"/>
      <c r="M486" s="21"/>
    </row>
    <row r="487" spans="4:13" ht="15.75" customHeight="1">
      <c r="D487" s="21"/>
      <c r="E487" s="21"/>
      <c r="F487" s="21"/>
      <c r="I487" s="21"/>
      <c r="K487" s="21"/>
      <c r="L487" s="21"/>
      <c r="M487" s="21"/>
    </row>
    <row r="488" spans="4:13" ht="15.75" customHeight="1">
      <c r="D488" s="21"/>
      <c r="E488" s="21"/>
      <c r="F488" s="21"/>
      <c r="I488" s="21"/>
      <c r="K488" s="21"/>
      <c r="L488" s="21"/>
      <c r="M488" s="21"/>
    </row>
    <row r="489" spans="4:13" ht="15.75" customHeight="1">
      <c r="D489" s="21"/>
      <c r="E489" s="21"/>
      <c r="F489" s="21"/>
      <c r="I489" s="21"/>
      <c r="K489" s="21"/>
      <c r="L489" s="21"/>
      <c r="M489" s="21"/>
    </row>
    <row r="490" spans="4:13" ht="15.75" customHeight="1">
      <c r="D490" s="21"/>
      <c r="E490" s="21"/>
      <c r="F490" s="21"/>
      <c r="I490" s="21"/>
      <c r="K490" s="21"/>
      <c r="L490" s="21"/>
      <c r="M490" s="21"/>
    </row>
    <row r="491" spans="4:13" ht="15.75" customHeight="1">
      <c r="D491" s="21"/>
      <c r="E491" s="21"/>
      <c r="F491" s="21"/>
      <c r="I491" s="21"/>
      <c r="K491" s="21"/>
      <c r="L491" s="21"/>
      <c r="M491" s="21"/>
    </row>
    <row r="492" spans="4:13" ht="15.75" customHeight="1">
      <c r="D492" s="21"/>
      <c r="E492" s="21"/>
      <c r="F492" s="21"/>
      <c r="I492" s="21"/>
      <c r="K492" s="21"/>
      <c r="L492" s="21"/>
      <c r="M492" s="21"/>
    </row>
    <row r="493" spans="4:13" ht="15.75" customHeight="1">
      <c r="D493" s="21"/>
      <c r="E493" s="21"/>
      <c r="F493" s="21"/>
      <c r="I493" s="21"/>
      <c r="K493" s="21"/>
      <c r="L493" s="21"/>
      <c r="M493" s="21"/>
    </row>
    <row r="494" spans="4:13" ht="15.75" customHeight="1">
      <c r="D494" s="21"/>
      <c r="E494" s="21"/>
      <c r="F494" s="21"/>
      <c r="I494" s="21"/>
      <c r="K494" s="21"/>
      <c r="L494" s="21"/>
      <c r="M494" s="21"/>
    </row>
    <row r="495" spans="4:13" ht="15.75" customHeight="1">
      <c r="D495" s="21"/>
      <c r="E495" s="21"/>
      <c r="F495" s="21"/>
      <c r="I495" s="21"/>
      <c r="K495" s="21"/>
      <c r="L495" s="21"/>
      <c r="M495" s="21"/>
    </row>
    <row r="496" spans="4:13" ht="15.75" customHeight="1">
      <c r="D496" s="21"/>
      <c r="E496" s="21"/>
      <c r="F496" s="21"/>
      <c r="I496" s="21"/>
      <c r="K496" s="21"/>
      <c r="L496" s="21"/>
      <c r="M496" s="21"/>
    </row>
    <row r="497" spans="4:13" ht="15.75" customHeight="1">
      <c r="D497" s="21"/>
      <c r="E497" s="21"/>
      <c r="F497" s="21"/>
      <c r="I497" s="21"/>
      <c r="K497" s="21"/>
      <c r="L497" s="21"/>
      <c r="M497" s="21"/>
    </row>
    <row r="498" spans="4:13" ht="15.75" customHeight="1">
      <c r="D498" s="21"/>
      <c r="E498" s="21"/>
      <c r="F498" s="21"/>
      <c r="I498" s="21"/>
      <c r="K498" s="21"/>
      <c r="L498" s="21"/>
      <c r="M498" s="21"/>
    </row>
    <row r="499" spans="4:13" ht="15.75" customHeight="1">
      <c r="D499" s="21"/>
      <c r="E499" s="21"/>
      <c r="F499" s="21"/>
      <c r="I499" s="21"/>
      <c r="K499" s="21"/>
      <c r="L499" s="21"/>
      <c r="M499" s="21"/>
    </row>
    <row r="500" spans="4:13" ht="15.75" customHeight="1">
      <c r="D500" s="21"/>
      <c r="E500" s="21"/>
      <c r="F500" s="21"/>
      <c r="I500" s="21"/>
      <c r="K500" s="21"/>
      <c r="L500" s="21"/>
      <c r="M500" s="21"/>
    </row>
    <row r="501" spans="4:13" ht="15.75" customHeight="1">
      <c r="D501" s="21"/>
      <c r="E501" s="21"/>
      <c r="F501" s="21"/>
      <c r="I501" s="21"/>
      <c r="K501" s="21"/>
      <c r="L501" s="21"/>
      <c r="M501" s="21"/>
    </row>
    <row r="502" spans="4:13" ht="15.75" customHeight="1">
      <c r="D502" s="21"/>
      <c r="E502" s="21"/>
      <c r="F502" s="21"/>
      <c r="I502" s="21"/>
      <c r="K502" s="21"/>
      <c r="L502" s="21"/>
      <c r="M502" s="21"/>
    </row>
    <row r="503" spans="4:13" ht="15.75" customHeight="1">
      <c r="D503" s="21"/>
      <c r="E503" s="21"/>
      <c r="F503" s="21"/>
      <c r="I503" s="21"/>
      <c r="K503" s="21"/>
      <c r="L503" s="21"/>
      <c r="M503" s="21"/>
    </row>
    <row r="504" spans="4:13" ht="15.75" customHeight="1">
      <c r="D504" s="21"/>
      <c r="E504" s="21"/>
      <c r="F504" s="21"/>
      <c r="I504" s="21"/>
      <c r="K504" s="21"/>
      <c r="L504" s="21"/>
      <c r="M504" s="21"/>
    </row>
    <row r="505" spans="4:13" ht="15.75" customHeight="1">
      <c r="D505" s="21"/>
      <c r="E505" s="21"/>
      <c r="F505" s="21"/>
      <c r="I505" s="21"/>
      <c r="K505" s="21"/>
      <c r="L505" s="21"/>
      <c r="M505" s="21"/>
    </row>
    <row r="506" spans="4:13" ht="15.75" customHeight="1">
      <c r="D506" s="21"/>
      <c r="E506" s="21"/>
      <c r="F506" s="21"/>
      <c r="I506" s="21"/>
      <c r="K506" s="21"/>
      <c r="L506" s="21"/>
      <c r="M506" s="21"/>
    </row>
    <row r="507" spans="4:13" ht="15.75" customHeight="1">
      <c r="D507" s="21"/>
      <c r="E507" s="21"/>
      <c r="F507" s="21"/>
      <c r="I507" s="21"/>
      <c r="K507" s="21"/>
      <c r="L507" s="21"/>
      <c r="M507" s="21"/>
    </row>
    <row r="508" spans="4:13" ht="15.75" customHeight="1">
      <c r="D508" s="21"/>
      <c r="E508" s="21"/>
      <c r="F508" s="21"/>
      <c r="I508" s="21"/>
      <c r="K508" s="21"/>
      <c r="L508" s="21"/>
      <c r="M508" s="21"/>
    </row>
    <row r="509" spans="4:13" ht="15.75" customHeight="1">
      <c r="D509" s="21"/>
      <c r="E509" s="21"/>
      <c r="F509" s="21"/>
      <c r="I509" s="21"/>
      <c r="K509" s="21"/>
      <c r="L509" s="21"/>
      <c r="M509" s="21"/>
    </row>
    <row r="510" spans="4:13" ht="15.75" customHeight="1">
      <c r="D510" s="21"/>
      <c r="E510" s="21"/>
      <c r="F510" s="21"/>
      <c r="I510" s="21"/>
      <c r="K510" s="21"/>
      <c r="L510" s="21"/>
      <c r="M510" s="21"/>
    </row>
    <row r="511" spans="4:13" ht="15.75" customHeight="1">
      <c r="D511" s="21"/>
      <c r="E511" s="21"/>
      <c r="F511" s="21"/>
      <c r="I511" s="21"/>
      <c r="K511" s="21"/>
      <c r="L511" s="21"/>
      <c r="M511" s="21"/>
    </row>
    <row r="512" spans="4:13" ht="15.75" customHeight="1">
      <c r="D512" s="21"/>
      <c r="E512" s="21"/>
      <c r="F512" s="21"/>
      <c r="I512" s="21"/>
      <c r="K512" s="21"/>
      <c r="L512" s="21"/>
      <c r="M512" s="21"/>
    </row>
    <row r="513" spans="4:13" ht="15.75" customHeight="1">
      <c r="D513" s="21"/>
      <c r="E513" s="21"/>
      <c r="F513" s="21"/>
      <c r="I513" s="21"/>
      <c r="K513" s="21"/>
      <c r="L513" s="21"/>
      <c r="M513" s="21"/>
    </row>
    <row r="514" spans="4:13" ht="15.75" customHeight="1">
      <c r="D514" s="21"/>
      <c r="E514" s="21"/>
      <c r="F514" s="21"/>
      <c r="I514" s="21"/>
      <c r="K514" s="21"/>
      <c r="L514" s="21"/>
      <c r="M514" s="21"/>
    </row>
    <row r="515" spans="4:13" ht="15.75" customHeight="1">
      <c r="D515" s="21"/>
      <c r="E515" s="21"/>
      <c r="F515" s="21"/>
      <c r="I515" s="21"/>
      <c r="K515" s="21"/>
      <c r="L515" s="21"/>
      <c r="M515" s="21"/>
    </row>
    <row r="516" spans="4:13" ht="15.75" customHeight="1">
      <c r="D516" s="21"/>
      <c r="E516" s="21"/>
      <c r="F516" s="21"/>
      <c r="I516" s="21"/>
      <c r="K516" s="21"/>
      <c r="L516" s="21"/>
      <c r="M516" s="21"/>
    </row>
    <row r="517" spans="4:13" ht="15.75" customHeight="1">
      <c r="D517" s="21"/>
      <c r="E517" s="21"/>
      <c r="F517" s="21"/>
      <c r="I517" s="21"/>
      <c r="K517" s="21"/>
      <c r="L517" s="21"/>
      <c r="M517" s="21"/>
    </row>
    <row r="518" spans="4:13" ht="15.75" customHeight="1">
      <c r="D518" s="21"/>
      <c r="E518" s="21"/>
      <c r="F518" s="21"/>
      <c r="I518" s="21"/>
      <c r="K518" s="21"/>
      <c r="L518" s="21"/>
      <c r="M518" s="21"/>
    </row>
    <row r="519" spans="4:13" ht="15.75" customHeight="1">
      <c r="D519" s="21"/>
      <c r="E519" s="21"/>
      <c r="F519" s="21"/>
      <c r="I519" s="21"/>
      <c r="K519" s="21"/>
      <c r="L519" s="21"/>
      <c r="M519" s="21"/>
    </row>
    <row r="520" spans="4:13" ht="15.75" customHeight="1">
      <c r="D520" s="21"/>
      <c r="E520" s="21"/>
      <c r="F520" s="21"/>
      <c r="I520" s="21"/>
      <c r="K520" s="21"/>
      <c r="L520" s="21"/>
      <c r="M520" s="21"/>
    </row>
    <row r="521" spans="4:13" ht="15.75" customHeight="1">
      <c r="D521" s="21"/>
      <c r="E521" s="21"/>
      <c r="F521" s="21"/>
      <c r="I521" s="21"/>
      <c r="K521" s="21"/>
      <c r="L521" s="21"/>
      <c r="M521" s="21"/>
    </row>
    <row r="522" spans="4:13" ht="15.75" customHeight="1">
      <c r="D522" s="21"/>
      <c r="E522" s="21"/>
      <c r="F522" s="21"/>
      <c r="I522" s="21"/>
      <c r="K522" s="21"/>
      <c r="L522" s="21"/>
      <c r="M522" s="21"/>
    </row>
    <row r="523" spans="4:13" ht="15.75" customHeight="1">
      <c r="D523" s="21"/>
      <c r="E523" s="21"/>
      <c r="F523" s="21"/>
      <c r="I523" s="21"/>
      <c r="K523" s="21"/>
      <c r="L523" s="21"/>
      <c r="M523" s="21"/>
    </row>
    <row r="524" spans="4:13" ht="15.75" customHeight="1">
      <c r="D524" s="21"/>
      <c r="E524" s="21"/>
      <c r="F524" s="21"/>
      <c r="I524" s="21"/>
      <c r="K524" s="21"/>
      <c r="L524" s="21"/>
      <c r="M524" s="21"/>
    </row>
    <row r="525" spans="4:13" ht="15.75" customHeight="1">
      <c r="D525" s="21"/>
      <c r="E525" s="21"/>
      <c r="F525" s="21"/>
      <c r="I525" s="21"/>
      <c r="K525" s="21"/>
      <c r="L525" s="21"/>
      <c r="M525" s="21"/>
    </row>
    <row r="526" spans="4:13" ht="15.75" customHeight="1">
      <c r="D526" s="21"/>
      <c r="E526" s="21"/>
      <c r="F526" s="21"/>
      <c r="I526" s="21"/>
      <c r="K526" s="21"/>
      <c r="L526" s="21"/>
      <c r="M526" s="21"/>
    </row>
    <row r="527" spans="4:13" ht="15.75" customHeight="1">
      <c r="D527" s="21"/>
      <c r="E527" s="21"/>
      <c r="F527" s="21"/>
      <c r="I527" s="21"/>
      <c r="K527" s="21"/>
      <c r="L527" s="21"/>
      <c r="M527" s="21"/>
    </row>
    <row r="528" spans="4:13" ht="15.75" customHeight="1">
      <c r="D528" s="21"/>
      <c r="E528" s="21"/>
      <c r="F528" s="21"/>
      <c r="I528" s="21"/>
      <c r="K528" s="21"/>
      <c r="L528" s="21"/>
      <c r="M528" s="21"/>
    </row>
    <row r="529" spans="4:13" ht="15.75" customHeight="1">
      <c r="D529" s="21"/>
      <c r="E529" s="21"/>
      <c r="F529" s="21"/>
      <c r="I529" s="21"/>
      <c r="K529" s="21"/>
      <c r="L529" s="21"/>
      <c r="M529" s="21"/>
    </row>
    <row r="530" spans="4:13" ht="15.75" customHeight="1">
      <c r="D530" s="21"/>
      <c r="E530" s="21"/>
      <c r="F530" s="21"/>
      <c r="I530" s="21"/>
      <c r="K530" s="21"/>
      <c r="L530" s="21"/>
      <c r="M530" s="21"/>
    </row>
    <row r="531" spans="4:13" ht="15.75" customHeight="1">
      <c r="D531" s="21"/>
      <c r="E531" s="21"/>
      <c r="F531" s="21"/>
      <c r="I531" s="21"/>
      <c r="K531" s="21"/>
      <c r="L531" s="21"/>
      <c r="M531" s="21"/>
    </row>
    <row r="532" spans="4:13" ht="15.75" customHeight="1">
      <c r="D532" s="21"/>
      <c r="E532" s="21"/>
      <c r="F532" s="21"/>
      <c r="I532" s="21"/>
      <c r="K532" s="21"/>
      <c r="L532" s="21"/>
      <c r="M532" s="21"/>
    </row>
    <row r="533" spans="4:13" ht="15.75" customHeight="1">
      <c r="D533" s="21"/>
      <c r="E533" s="21"/>
      <c r="F533" s="21"/>
      <c r="I533" s="21"/>
      <c r="K533" s="21"/>
      <c r="L533" s="21"/>
      <c r="M533" s="21"/>
    </row>
    <row r="534" spans="4:13" ht="15.75" customHeight="1">
      <c r="D534" s="21"/>
      <c r="E534" s="21"/>
      <c r="F534" s="21"/>
      <c r="I534" s="21"/>
      <c r="K534" s="21"/>
      <c r="L534" s="21"/>
      <c r="M534" s="21"/>
    </row>
    <row r="535" spans="4:13" ht="15.75" customHeight="1">
      <c r="D535" s="21"/>
      <c r="E535" s="21"/>
      <c r="F535" s="21"/>
      <c r="I535" s="21"/>
      <c r="K535" s="21"/>
      <c r="L535" s="21"/>
      <c r="M535" s="21"/>
    </row>
    <row r="536" spans="4:13" ht="15.75" customHeight="1">
      <c r="D536" s="21"/>
      <c r="E536" s="21"/>
      <c r="F536" s="21"/>
      <c r="I536" s="21"/>
      <c r="K536" s="21"/>
      <c r="L536" s="21"/>
      <c r="M536" s="21"/>
    </row>
    <row r="537" spans="4:13" ht="15.75" customHeight="1">
      <c r="D537" s="21"/>
      <c r="E537" s="21"/>
      <c r="F537" s="21"/>
      <c r="I537" s="21"/>
      <c r="K537" s="21"/>
      <c r="L537" s="21"/>
      <c r="M537" s="21"/>
    </row>
    <row r="538" spans="4:13" ht="15.75" customHeight="1">
      <c r="D538" s="21"/>
      <c r="E538" s="21"/>
      <c r="F538" s="21"/>
      <c r="I538" s="21"/>
      <c r="K538" s="21"/>
      <c r="L538" s="21"/>
      <c r="M538" s="21"/>
    </row>
    <row r="539" spans="4:13" ht="15.75" customHeight="1">
      <c r="D539" s="21"/>
      <c r="E539" s="21"/>
      <c r="F539" s="21"/>
      <c r="I539" s="21"/>
      <c r="K539" s="21"/>
      <c r="L539" s="21"/>
      <c r="M539" s="21"/>
    </row>
    <row r="540" spans="4:13" ht="15.75" customHeight="1">
      <c r="D540" s="21"/>
      <c r="E540" s="21"/>
      <c r="F540" s="21"/>
      <c r="I540" s="21"/>
      <c r="K540" s="21"/>
      <c r="L540" s="21"/>
      <c r="M540" s="21"/>
    </row>
    <row r="541" spans="4:13" ht="15.75" customHeight="1">
      <c r="D541" s="21"/>
      <c r="E541" s="21"/>
      <c r="F541" s="21"/>
      <c r="I541" s="21"/>
      <c r="K541" s="21"/>
      <c r="L541" s="21"/>
      <c r="M541" s="21"/>
    </row>
    <row r="542" spans="4:13" ht="15.75" customHeight="1">
      <c r="D542" s="21"/>
      <c r="E542" s="21"/>
      <c r="F542" s="21"/>
      <c r="I542" s="21"/>
      <c r="K542" s="21"/>
      <c r="L542" s="21"/>
      <c r="M542" s="21"/>
    </row>
    <row r="543" spans="4:13" ht="15.75" customHeight="1">
      <c r="D543" s="21"/>
      <c r="E543" s="21"/>
      <c r="F543" s="21"/>
      <c r="I543" s="21"/>
      <c r="K543" s="21"/>
      <c r="L543" s="21"/>
      <c r="M543" s="21"/>
    </row>
    <row r="544" spans="4:13" ht="15.75" customHeight="1">
      <c r="D544" s="21"/>
      <c r="E544" s="21"/>
      <c r="F544" s="21"/>
      <c r="I544" s="21"/>
      <c r="K544" s="21"/>
      <c r="L544" s="21"/>
      <c r="M544" s="21"/>
    </row>
    <row r="545" spans="4:13" ht="15.75" customHeight="1">
      <c r="D545" s="21"/>
      <c r="E545" s="21"/>
      <c r="F545" s="21"/>
      <c r="I545" s="21"/>
      <c r="K545" s="21"/>
      <c r="L545" s="21"/>
      <c r="M545" s="21"/>
    </row>
    <row r="546" spans="4:13" ht="15.75" customHeight="1">
      <c r="D546" s="21"/>
      <c r="E546" s="21"/>
      <c r="F546" s="21"/>
      <c r="I546" s="21"/>
      <c r="K546" s="21"/>
      <c r="L546" s="21"/>
      <c r="M546" s="21"/>
    </row>
    <row r="547" spans="4:13" ht="15.75" customHeight="1">
      <c r="D547" s="21"/>
      <c r="E547" s="21"/>
      <c r="F547" s="21"/>
      <c r="I547" s="21"/>
      <c r="K547" s="21"/>
      <c r="L547" s="21"/>
      <c r="M547" s="21"/>
    </row>
    <row r="548" spans="4:13" ht="15.75" customHeight="1">
      <c r="D548" s="21"/>
      <c r="E548" s="21"/>
      <c r="F548" s="21"/>
      <c r="I548" s="21"/>
      <c r="K548" s="21"/>
      <c r="L548" s="21"/>
      <c r="M548" s="21"/>
    </row>
    <row r="549" spans="4:13" ht="15.75" customHeight="1">
      <c r="D549" s="21"/>
      <c r="E549" s="21"/>
      <c r="F549" s="21"/>
      <c r="I549" s="21"/>
      <c r="K549" s="21"/>
      <c r="L549" s="21"/>
      <c r="M549" s="21"/>
    </row>
    <row r="550" spans="4:13" ht="15.75" customHeight="1">
      <c r="D550" s="21"/>
      <c r="E550" s="21"/>
      <c r="F550" s="21"/>
      <c r="I550" s="21"/>
      <c r="K550" s="21"/>
      <c r="L550" s="21"/>
      <c r="M550" s="21"/>
    </row>
    <row r="551" spans="4:13" ht="15.75" customHeight="1">
      <c r="D551" s="21"/>
      <c r="E551" s="21"/>
      <c r="F551" s="21"/>
      <c r="I551" s="21"/>
      <c r="K551" s="21"/>
      <c r="L551" s="21"/>
      <c r="M551" s="21"/>
    </row>
    <row r="552" spans="4:13" ht="15.75" customHeight="1">
      <c r="D552" s="21"/>
      <c r="E552" s="21"/>
      <c r="F552" s="21"/>
      <c r="I552" s="21"/>
      <c r="K552" s="21"/>
      <c r="L552" s="21"/>
      <c r="M552" s="21"/>
    </row>
    <row r="553" spans="4:13" ht="15.75" customHeight="1">
      <c r="D553" s="21"/>
      <c r="E553" s="21"/>
      <c r="F553" s="21"/>
      <c r="I553" s="21"/>
      <c r="K553" s="21"/>
      <c r="L553" s="21"/>
      <c r="M553" s="21"/>
    </row>
    <row r="554" spans="4:13" ht="15.75" customHeight="1">
      <c r="D554" s="21"/>
      <c r="E554" s="21"/>
      <c r="F554" s="21"/>
      <c r="I554" s="21"/>
      <c r="K554" s="21"/>
      <c r="L554" s="21"/>
      <c r="M554" s="21"/>
    </row>
    <row r="555" spans="4:13" ht="15.75" customHeight="1">
      <c r="D555" s="21"/>
      <c r="E555" s="21"/>
      <c r="F555" s="21"/>
      <c r="I555" s="21"/>
      <c r="K555" s="21"/>
      <c r="L555" s="21"/>
      <c r="M555" s="21"/>
    </row>
    <row r="556" spans="4:13" ht="15.75" customHeight="1">
      <c r="D556" s="21"/>
      <c r="E556" s="21"/>
      <c r="F556" s="21"/>
      <c r="I556" s="21"/>
      <c r="K556" s="21"/>
      <c r="L556" s="21"/>
      <c r="M556" s="21"/>
    </row>
    <row r="557" spans="4:13" ht="15.75" customHeight="1">
      <c r="D557" s="21"/>
      <c r="E557" s="21"/>
      <c r="F557" s="21"/>
      <c r="I557" s="21"/>
      <c r="K557" s="21"/>
      <c r="L557" s="21"/>
      <c r="M557" s="21"/>
    </row>
    <row r="558" spans="4:13" ht="15.75" customHeight="1">
      <c r="D558" s="21"/>
      <c r="E558" s="21"/>
      <c r="F558" s="21"/>
      <c r="I558" s="21"/>
      <c r="K558" s="21"/>
      <c r="L558" s="21"/>
      <c r="M558" s="21"/>
    </row>
    <row r="559" spans="4:13" ht="15.75" customHeight="1">
      <c r="D559" s="21"/>
      <c r="E559" s="21"/>
      <c r="F559" s="21"/>
      <c r="I559" s="21"/>
      <c r="K559" s="21"/>
      <c r="L559" s="21"/>
      <c r="M559" s="21"/>
    </row>
    <row r="560" spans="4:13" ht="15.75" customHeight="1">
      <c r="D560" s="21"/>
      <c r="E560" s="21"/>
      <c r="F560" s="21"/>
      <c r="I560" s="21"/>
      <c r="K560" s="21"/>
      <c r="L560" s="21"/>
      <c r="M560" s="21"/>
    </row>
    <row r="561" spans="4:13" ht="15.75" customHeight="1">
      <c r="D561" s="21"/>
      <c r="E561" s="21"/>
      <c r="F561" s="21"/>
      <c r="I561" s="21"/>
      <c r="K561" s="21"/>
      <c r="L561" s="21"/>
      <c r="M561" s="21"/>
    </row>
    <row r="562" spans="4:13" ht="15.75" customHeight="1">
      <c r="D562" s="21"/>
      <c r="E562" s="21"/>
      <c r="F562" s="21"/>
      <c r="I562" s="21"/>
      <c r="K562" s="21"/>
      <c r="L562" s="21"/>
      <c r="M562" s="21"/>
    </row>
    <row r="563" spans="4:13" ht="15.75" customHeight="1">
      <c r="D563" s="21"/>
      <c r="E563" s="21"/>
      <c r="F563" s="21"/>
      <c r="I563" s="21"/>
      <c r="K563" s="21"/>
      <c r="L563" s="21"/>
      <c r="M563" s="21"/>
    </row>
    <row r="564" spans="4:13" ht="15.75" customHeight="1">
      <c r="D564" s="21"/>
      <c r="E564" s="21"/>
      <c r="F564" s="21"/>
      <c r="I564" s="21"/>
      <c r="K564" s="21"/>
      <c r="L564" s="21"/>
      <c r="M564" s="21"/>
    </row>
    <row r="565" spans="4:13" ht="15.75" customHeight="1">
      <c r="D565" s="21"/>
      <c r="E565" s="21"/>
      <c r="F565" s="21"/>
      <c r="I565" s="21"/>
      <c r="K565" s="21"/>
      <c r="L565" s="21"/>
      <c r="M565" s="21"/>
    </row>
    <row r="566" spans="4:13" ht="15.75" customHeight="1">
      <c r="D566" s="21"/>
      <c r="E566" s="21"/>
      <c r="F566" s="21"/>
      <c r="I566" s="21"/>
      <c r="K566" s="21"/>
      <c r="L566" s="21"/>
      <c r="M566" s="21"/>
    </row>
    <row r="567" spans="4:13" ht="15.75" customHeight="1">
      <c r="D567" s="21"/>
      <c r="E567" s="21"/>
      <c r="F567" s="21"/>
      <c r="I567" s="21"/>
      <c r="K567" s="21"/>
      <c r="L567" s="21"/>
      <c r="M567" s="21"/>
    </row>
    <row r="568" spans="4:13" ht="15.75" customHeight="1">
      <c r="D568" s="21"/>
      <c r="E568" s="21"/>
      <c r="F568" s="21"/>
      <c r="I568" s="21"/>
      <c r="K568" s="21"/>
      <c r="L568" s="21"/>
      <c r="M568" s="21"/>
    </row>
    <row r="569" spans="4:13" ht="15.75" customHeight="1">
      <c r="D569" s="21"/>
      <c r="E569" s="21"/>
      <c r="F569" s="21"/>
      <c r="I569" s="21"/>
      <c r="K569" s="21"/>
      <c r="L569" s="21"/>
      <c r="M569" s="21"/>
    </row>
    <row r="570" spans="4:13" ht="15.75" customHeight="1">
      <c r="D570" s="21"/>
      <c r="E570" s="21"/>
      <c r="F570" s="21"/>
      <c r="I570" s="21"/>
      <c r="K570" s="21"/>
      <c r="L570" s="21"/>
      <c r="M570" s="21"/>
    </row>
    <row r="571" spans="4:13" ht="15.75" customHeight="1">
      <c r="D571" s="21"/>
      <c r="E571" s="21"/>
      <c r="F571" s="21"/>
      <c r="I571" s="21"/>
      <c r="K571" s="21"/>
      <c r="L571" s="21"/>
      <c r="M571" s="21"/>
    </row>
    <row r="572" spans="4:13" ht="15.75" customHeight="1">
      <c r="D572" s="21"/>
      <c r="E572" s="21"/>
      <c r="F572" s="21"/>
      <c r="I572" s="21"/>
      <c r="K572" s="21"/>
      <c r="L572" s="21"/>
      <c r="M572" s="21"/>
    </row>
    <row r="573" spans="4:13" ht="15.75" customHeight="1">
      <c r="D573" s="21"/>
      <c r="E573" s="21"/>
      <c r="F573" s="21"/>
      <c r="I573" s="21"/>
      <c r="K573" s="21"/>
      <c r="L573" s="21"/>
      <c r="M573" s="21"/>
    </row>
    <row r="574" spans="4:13" ht="15.75" customHeight="1">
      <c r="D574" s="21"/>
      <c r="E574" s="21"/>
      <c r="F574" s="21"/>
      <c r="I574" s="21"/>
      <c r="K574" s="21"/>
      <c r="L574" s="21"/>
      <c r="M574" s="21"/>
    </row>
    <row r="575" spans="4:13" ht="15.75" customHeight="1">
      <c r="D575" s="21"/>
      <c r="E575" s="21"/>
      <c r="F575" s="21"/>
      <c r="I575" s="21"/>
      <c r="K575" s="21"/>
      <c r="L575" s="21"/>
      <c r="M575" s="21"/>
    </row>
    <row r="576" spans="4:13" ht="15.75" customHeight="1">
      <c r="D576" s="21"/>
      <c r="E576" s="21"/>
      <c r="F576" s="21"/>
      <c r="I576" s="21"/>
      <c r="K576" s="21"/>
      <c r="L576" s="21"/>
      <c r="M576" s="21"/>
    </row>
    <row r="577" spans="4:13" ht="15.75" customHeight="1">
      <c r="D577" s="21"/>
      <c r="E577" s="21"/>
      <c r="F577" s="21"/>
      <c r="I577" s="21"/>
      <c r="K577" s="21"/>
      <c r="L577" s="21"/>
      <c r="M577" s="21"/>
    </row>
    <row r="578" spans="4:13" ht="15.75" customHeight="1">
      <c r="D578" s="21"/>
      <c r="E578" s="21"/>
      <c r="F578" s="21"/>
      <c r="I578" s="21"/>
      <c r="K578" s="21"/>
      <c r="L578" s="21"/>
      <c r="M578" s="21"/>
    </row>
    <row r="579" spans="4:13" ht="15.75" customHeight="1">
      <c r="D579" s="21"/>
      <c r="E579" s="21"/>
      <c r="F579" s="21"/>
      <c r="I579" s="21"/>
      <c r="K579" s="21"/>
      <c r="L579" s="21"/>
      <c r="M579" s="21"/>
    </row>
    <row r="580" spans="4:13" ht="15.75" customHeight="1">
      <c r="D580" s="21"/>
      <c r="E580" s="21"/>
      <c r="F580" s="21"/>
      <c r="I580" s="21"/>
      <c r="K580" s="21"/>
      <c r="L580" s="21"/>
      <c r="M580" s="21"/>
    </row>
    <row r="581" spans="4:13" ht="15.75" customHeight="1">
      <c r="D581" s="21"/>
      <c r="E581" s="21"/>
      <c r="F581" s="21"/>
      <c r="I581" s="21"/>
      <c r="K581" s="21"/>
      <c r="L581" s="21"/>
      <c r="M581" s="21"/>
    </row>
    <row r="582" spans="4:13" ht="15.75" customHeight="1">
      <c r="D582" s="21"/>
      <c r="E582" s="21"/>
      <c r="F582" s="21"/>
      <c r="I582" s="21"/>
      <c r="K582" s="21"/>
      <c r="L582" s="21"/>
      <c r="M582" s="21"/>
    </row>
    <row r="583" spans="4:13" ht="15.75" customHeight="1">
      <c r="D583" s="21"/>
      <c r="E583" s="21"/>
      <c r="F583" s="21"/>
      <c r="I583" s="21"/>
      <c r="K583" s="21"/>
      <c r="L583" s="21"/>
      <c r="M583" s="21"/>
    </row>
    <row r="584" spans="4:13" ht="15.75" customHeight="1">
      <c r="D584" s="21"/>
      <c r="E584" s="21"/>
      <c r="F584" s="21"/>
      <c r="I584" s="21"/>
      <c r="K584" s="21"/>
      <c r="L584" s="21"/>
      <c r="M584" s="21"/>
    </row>
    <row r="585" spans="4:13" ht="15.75" customHeight="1">
      <c r="D585" s="21"/>
      <c r="E585" s="21"/>
      <c r="F585" s="21"/>
      <c r="I585" s="21"/>
      <c r="K585" s="21"/>
      <c r="L585" s="21"/>
      <c r="M585" s="21"/>
    </row>
    <row r="586" spans="4:13" ht="15.75" customHeight="1">
      <c r="D586" s="21"/>
      <c r="E586" s="21"/>
      <c r="F586" s="21"/>
      <c r="I586" s="21"/>
      <c r="K586" s="21"/>
      <c r="L586" s="21"/>
      <c r="M586" s="21"/>
    </row>
    <row r="587" spans="4:13" ht="15.75" customHeight="1">
      <c r="D587" s="21"/>
      <c r="E587" s="21"/>
      <c r="F587" s="21"/>
      <c r="I587" s="21"/>
      <c r="K587" s="21"/>
      <c r="L587" s="21"/>
      <c r="M587" s="21"/>
    </row>
    <row r="588" spans="4:13" ht="15.75" customHeight="1">
      <c r="D588" s="21"/>
      <c r="E588" s="21"/>
      <c r="F588" s="21"/>
      <c r="I588" s="21"/>
      <c r="K588" s="21"/>
      <c r="L588" s="21"/>
      <c r="M588" s="21"/>
    </row>
    <row r="589" spans="4:13" ht="15.75" customHeight="1">
      <c r="D589" s="21"/>
      <c r="E589" s="21"/>
      <c r="F589" s="21"/>
      <c r="I589" s="21"/>
      <c r="K589" s="21"/>
      <c r="L589" s="21"/>
      <c r="M589" s="21"/>
    </row>
    <row r="590" spans="4:13" ht="15.75" customHeight="1">
      <c r="D590" s="21"/>
      <c r="E590" s="21"/>
      <c r="F590" s="21"/>
      <c r="I590" s="21"/>
      <c r="K590" s="21"/>
      <c r="L590" s="21"/>
      <c r="M590" s="21"/>
    </row>
    <row r="591" spans="4:13" ht="15.75" customHeight="1">
      <c r="D591" s="21"/>
      <c r="E591" s="21"/>
      <c r="F591" s="21"/>
      <c r="I591" s="21"/>
      <c r="K591" s="21"/>
      <c r="L591" s="21"/>
      <c r="M591" s="21"/>
    </row>
    <row r="592" spans="4:13" ht="15.75" customHeight="1">
      <c r="D592" s="21"/>
      <c r="E592" s="21"/>
      <c r="F592" s="21"/>
      <c r="I592" s="21"/>
      <c r="K592" s="21"/>
      <c r="L592" s="21"/>
      <c r="M592" s="21"/>
    </row>
    <row r="593" spans="4:13" ht="15.75" customHeight="1">
      <c r="D593" s="21"/>
      <c r="E593" s="21"/>
      <c r="F593" s="21"/>
      <c r="I593" s="21"/>
      <c r="K593" s="21"/>
      <c r="L593" s="21"/>
      <c r="M593" s="21"/>
    </row>
    <row r="594" spans="4:13" ht="15.75" customHeight="1">
      <c r="D594" s="21"/>
      <c r="E594" s="21"/>
      <c r="F594" s="21"/>
      <c r="I594" s="21"/>
      <c r="K594" s="21"/>
      <c r="L594" s="21"/>
      <c r="M594" s="21"/>
    </row>
    <row r="595" spans="4:13" ht="15.75" customHeight="1">
      <c r="D595" s="21"/>
      <c r="E595" s="21"/>
      <c r="F595" s="21"/>
      <c r="I595" s="21"/>
      <c r="K595" s="21"/>
      <c r="L595" s="21"/>
      <c r="M595" s="21"/>
    </row>
    <row r="596" spans="4:13" ht="15.75" customHeight="1">
      <c r="D596" s="21"/>
      <c r="E596" s="21"/>
      <c r="F596" s="21"/>
      <c r="I596" s="21"/>
      <c r="K596" s="21"/>
      <c r="L596" s="21"/>
      <c r="M596" s="21"/>
    </row>
    <row r="597" spans="4:13" ht="15.75" customHeight="1">
      <c r="D597" s="21"/>
      <c r="E597" s="21"/>
      <c r="F597" s="21"/>
      <c r="I597" s="21"/>
      <c r="K597" s="21"/>
      <c r="L597" s="21"/>
      <c r="M597" s="21"/>
    </row>
    <row r="598" spans="4:13" ht="15.75" customHeight="1">
      <c r="D598" s="21"/>
      <c r="E598" s="21"/>
      <c r="F598" s="21"/>
      <c r="I598" s="21"/>
      <c r="K598" s="21"/>
      <c r="L598" s="21"/>
      <c r="M598" s="21"/>
    </row>
    <row r="599" spans="4:13" ht="15.75" customHeight="1">
      <c r="D599" s="21"/>
      <c r="E599" s="21"/>
      <c r="F599" s="21"/>
      <c r="I599" s="21"/>
      <c r="K599" s="21"/>
      <c r="L599" s="21"/>
      <c r="M599" s="21"/>
    </row>
    <row r="600" spans="4:13" ht="15.75" customHeight="1">
      <c r="D600" s="21"/>
      <c r="E600" s="21"/>
      <c r="F600" s="21"/>
      <c r="I600" s="21"/>
      <c r="K600" s="21"/>
      <c r="L600" s="21"/>
      <c r="M600" s="21"/>
    </row>
    <row r="601" spans="4:13" ht="15.75" customHeight="1">
      <c r="D601" s="21"/>
      <c r="E601" s="21"/>
      <c r="F601" s="21"/>
      <c r="I601" s="21"/>
      <c r="K601" s="21"/>
      <c r="L601" s="21"/>
      <c r="M601" s="21"/>
    </row>
    <row r="602" spans="4:13" ht="15.75" customHeight="1">
      <c r="D602" s="21"/>
      <c r="E602" s="21"/>
      <c r="F602" s="21"/>
      <c r="I602" s="21"/>
      <c r="K602" s="21"/>
      <c r="L602" s="21"/>
      <c r="M602" s="21"/>
    </row>
    <row r="603" spans="4:13" ht="15.75" customHeight="1">
      <c r="D603" s="21"/>
      <c r="E603" s="21"/>
      <c r="F603" s="21"/>
      <c r="I603" s="21"/>
      <c r="K603" s="21"/>
      <c r="L603" s="21"/>
      <c r="M603" s="21"/>
    </row>
    <row r="604" spans="4:13" ht="15.75" customHeight="1">
      <c r="D604" s="21"/>
      <c r="E604" s="21"/>
      <c r="F604" s="21"/>
      <c r="I604" s="21"/>
      <c r="K604" s="21"/>
      <c r="L604" s="21"/>
      <c r="M604" s="21"/>
    </row>
    <row r="605" spans="4:13" ht="15.75" customHeight="1">
      <c r="D605" s="21"/>
      <c r="E605" s="21"/>
      <c r="F605" s="21"/>
      <c r="I605" s="21"/>
      <c r="K605" s="21"/>
      <c r="L605" s="21"/>
      <c r="M605" s="21"/>
    </row>
    <row r="606" spans="4:13" ht="15.75" customHeight="1">
      <c r="D606" s="21"/>
      <c r="E606" s="21"/>
      <c r="F606" s="21"/>
      <c r="I606" s="21"/>
      <c r="K606" s="21"/>
      <c r="L606" s="21"/>
      <c r="M606" s="21"/>
    </row>
    <row r="607" spans="4:13" ht="15.75" customHeight="1">
      <c r="D607" s="21"/>
      <c r="E607" s="21"/>
      <c r="F607" s="21"/>
      <c r="I607" s="21"/>
      <c r="K607" s="21"/>
      <c r="L607" s="21"/>
      <c r="M607" s="21"/>
    </row>
    <row r="608" spans="4:13" ht="15.75" customHeight="1">
      <c r="D608" s="21"/>
      <c r="E608" s="21"/>
      <c r="F608" s="21"/>
      <c r="I608" s="21"/>
      <c r="K608" s="21"/>
      <c r="L608" s="21"/>
      <c r="M608" s="21"/>
    </row>
    <row r="609" spans="4:13" ht="15.75" customHeight="1">
      <c r="D609" s="21"/>
      <c r="E609" s="21"/>
      <c r="F609" s="21"/>
      <c r="I609" s="21"/>
      <c r="K609" s="21"/>
      <c r="L609" s="21"/>
      <c r="M609" s="21"/>
    </row>
    <row r="610" spans="4:13" ht="15.75" customHeight="1">
      <c r="D610" s="21"/>
      <c r="E610" s="21"/>
      <c r="F610" s="21"/>
      <c r="I610" s="21"/>
      <c r="K610" s="21"/>
      <c r="L610" s="21"/>
      <c r="M610" s="21"/>
    </row>
    <row r="611" spans="4:13" ht="15.75" customHeight="1">
      <c r="D611" s="21"/>
      <c r="E611" s="21"/>
      <c r="F611" s="21"/>
      <c r="I611" s="21"/>
      <c r="K611" s="21"/>
      <c r="L611" s="21"/>
      <c r="M611" s="21"/>
    </row>
    <row r="612" spans="4:13" ht="15.75" customHeight="1">
      <c r="D612" s="21"/>
      <c r="E612" s="21"/>
      <c r="F612" s="21"/>
      <c r="I612" s="21"/>
      <c r="K612" s="21"/>
      <c r="L612" s="21"/>
      <c r="M612" s="21"/>
    </row>
    <row r="613" spans="4:13" ht="15.75" customHeight="1">
      <c r="D613" s="21"/>
      <c r="E613" s="21"/>
      <c r="F613" s="21"/>
      <c r="I613" s="21"/>
      <c r="K613" s="21"/>
      <c r="L613" s="21"/>
      <c r="M613" s="21"/>
    </row>
    <row r="614" spans="4:13" ht="15.75" customHeight="1">
      <c r="D614" s="21"/>
      <c r="E614" s="21"/>
      <c r="F614" s="21"/>
      <c r="I614" s="21"/>
      <c r="K614" s="21"/>
      <c r="L614" s="21"/>
      <c r="M614" s="21"/>
    </row>
    <row r="615" spans="4:13" ht="15.75" customHeight="1">
      <c r="D615" s="21"/>
      <c r="E615" s="21"/>
      <c r="F615" s="21"/>
      <c r="I615" s="21"/>
      <c r="K615" s="21"/>
      <c r="L615" s="21"/>
      <c r="M615" s="21"/>
    </row>
    <row r="616" spans="4:13" ht="15.75" customHeight="1">
      <c r="D616" s="21"/>
      <c r="E616" s="21"/>
      <c r="F616" s="21"/>
      <c r="I616" s="21"/>
      <c r="K616" s="21"/>
      <c r="L616" s="21"/>
      <c r="M616" s="21"/>
    </row>
    <row r="617" spans="4:13" ht="15.75" customHeight="1">
      <c r="D617" s="21"/>
      <c r="E617" s="21"/>
      <c r="F617" s="21"/>
      <c r="I617" s="21"/>
      <c r="K617" s="21"/>
      <c r="L617" s="21"/>
      <c r="M617" s="21"/>
    </row>
    <row r="618" spans="4:13" ht="15.75" customHeight="1">
      <c r="D618" s="21"/>
      <c r="E618" s="21"/>
      <c r="F618" s="21"/>
      <c r="I618" s="21"/>
      <c r="K618" s="21"/>
      <c r="L618" s="21"/>
      <c r="M618" s="21"/>
    </row>
    <row r="619" spans="4:13" ht="15.75" customHeight="1">
      <c r="D619" s="21"/>
      <c r="E619" s="21"/>
      <c r="F619" s="21"/>
      <c r="I619" s="21"/>
      <c r="K619" s="21"/>
      <c r="L619" s="21"/>
      <c r="M619" s="21"/>
    </row>
    <row r="620" spans="4:13" ht="15.75" customHeight="1">
      <c r="D620" s="21"/>
      <c r="E620" s="21"/>
      <c r="F620" s="21"/>
      <c r="I620" s="21"/>
      <c r="K620" s="21"/>
      <c r="L620" s="21"/>
      <c r="M620" s="21"/>
    </row>
    <row r="621" spans="4:13" ht="15.75" customHeight="1">
      <c r="D621" s="21"/>
      <c r="E621" s="21"/>
      <c r="F621" s="21"/>
      <c r="I621" s="21"/>
      <c r="K621" s="21"/>
      <c r="L621" s="21"/>
      <c r="M621" s="21"/>
    </row>
    <row r="622" spans="4:13" ht="15.75" customHeight="1">
      <c r="D622" s="21"/>
      <c r="E622" s="21"/>
      <c r="F622" s="21"/>
      <c r="I622" s="21"/>
      <c r="K622" s="21"/>
      <c r="L622" s="21"/>
      <c r="M622" s="21"/>
    </row>
    <row r="623" spans="4:13" ht="15.75" customHeight="1">
      <c r="D623" s="21"/>
      <c r="E623" s="21"/>
      <c r="F623" s="21"/>
      <c r="I623" s="21"/>
      <c r="K623" s="21"/>
      <c r="L623" s="21"/>
      <c r="M623" s="21"/>
    </row>
    <row r="624" spans="4:13" ht="15.75" customHeight="1">
      <c r="D624" s="21"/>
      <c r="E624" s="21"/>
      <c r="F624" s="21"/>
      <c r="I624" s="21"/>
      <c r="K624" s="21"/>
      <c r="L624" s="21"/>
      <c r="M624" s="21"/>
    </row>
    <row r="625" spans="4:13" ht="15.75" customHeight="1">
      <c r="D625" s="21"/>
      <c r="E625" s="21"/>
      <c r="F625" s="21"/>
      <c r="I625" s="21"/>
      <c r="K625" s="21"/>
      <c r="L625" s="21"/>
      <c r="M625" s="21"/>
    </row>
    <row r="626" spans="4:13" ht="15.75" customHeight="1">
      <c r="D626" s="21"/>
      <c r="E626" s="21"/>
      <c r="F626" s="21"/>
      <c r="I626" s="21"/>
      <c r="K626" s="21"/>
      <c r="L626" s="21"/>
      <c r="M626" s="21"/>
    </row>
    <row r="627" spans="4:13" ht="15.75" customHeight="1">
      <c r="D627" s="21"/>
      <c r="E627" s="21"/>
      <c r="F627" s="21"/>
      <c r="I627" s="21"/>
      <c r="K627" s="21"/>
      <c r="L627" s="21"/>
      <c r="M627" s="21"/>
    </row>
    <row r="628" spans="4:13" ht="15.75" customHeight="1">
      <c r="D628" s="21"/>
      <c r="E628" s="21"/>
      <c r="F628" s="21"/>
      <c r="I628" s="21"/>
      <c r="K628" s="21"/>
      <c r="L628" s="21"/>
      <c r="M628" s="21"/>
    </row>
    <row r="629" spans="4:13" ht="15.75" customHeight="1">
      <c r="D629" s="21"/>
      <c r="E629" s="21"/>
      <c r="F629" s="21"/>
      <c r="I629" s="21"/>
      <c r="K629" s="21"/>
      <c r="L629" s="21"/>
      <c r="M629" s="21"/>
    </row>
    <row r="630" spans="4:13" ht="15.75" customHeight="1">
      <c r="D630" s="21"/>
      <c r="E630" s="21"/>
      <c r="F630" s="21"/>
      <c r="I630" s="21"/>
      <c r="K630" s="21"/>
      <c r="L630" s="21"/>
      <c r="M630" s="21"/>
    </row>
    <row r="631" spans="4:13" ht="15.75" customHeight="1">
      <c r="D631" s="21"/>
      <c r="E631" s="21"/>
      <c r="F631" s="21"/>
      <c r="I631" s="21"/>
      <c r="K631" s="21"/>
      <c r="L631" s="21"/>
      <c r="M631" s="21"/>
    </row>
    <row r="632" spans="4:13" ht="15.75" customHeight="1">
      <c r="D632" s="21"/>
      <c r="E632" s="21"/>
      <c r="F632" s="21"/>
      <c r="I632" s="21"/>
      <c r="K632" s="21"/>
      <c r="L632" s="21"/>
      <c r="M632" s="21"/>
    </row>
    <row r="633" spans="4:13" ht="15.75" customHeight="1">
      <c r="D633" s="21"/>
      <c r="E633" s="21"/>
      <c r="F633" s="21"/>
      <c r="I633" s="21"/>
      <c r="K633" s="21"/>
      <c r="L633" s="21"/>
      <c r="M633" s="21"/>
    </row>
    <row r="634" spans="4:13" ht="15.75" customHeight="1">
      <c r="D634" s="21"/>
      <c r="E634" s="21"/>
      <c r="F634" s="21"/>
      <c r="I634" s="21"/>
      <c r="K634" s="21"/>
      <c r="L634" s="21"/>
      <c r="M634" s="21"/>
    </row>
    <row r="635" spans="4:13" ht="15.75" customHeight="1">
      <c r="D635" s="21"/>
      <c r="E635" s="21"/>
      <c r="F635" s="21"/>
      <c r="I635" s="21"/>
      <c r="K635" s="21"/>
      <c r="L635" s="21"/>
      <c r="M635" s="21"/>
    </row>
    <row r="636" spans="4:13" ht="15.75" customHeight="1">
      <c r="D636" s="21"/>
      <c r="E636" s="21"/>
      <c r="F636" s="21"/>
      <c r="I636" s="21"/>
      <c r="K636" s="21"/>
      <c r="L636" s="21"/>
      <c r="M636" s="21"/>
    </row>
    <row r="637" spans="4:13" ht="15.75" customHeight="1">
      <c r="D637" s="21"/>
      <c r="E637" s="21"/>
      <c r="F637" s="21"/>
      <c r="I637" s="21"/>
      <c r="K637" s="21"/>
      <c r="L637" s="21"/>
      <c r="M637" s="21"/>
    </row>
    <row r="638" spans="4:13" ht="15.75" customHeight="1">
      <c r="D638" s="21"/>
      <c r="E638" s="21"/>
      <c r="F638" s="21"/>
      <c r="I638" s="21"/>
      <c r="K638" s="21"/>
      <c r="L638" s="21"/>
      <c r="M638" s="21"/>
    </row>
    <row r="639" spans="4:13" ht="15.75" customHeight="1">
      <c r="D639" s="21"/>
      <c r="E639" s="21"/>
      <c r="F639" s="21"/>
      <c r="I639" s="21"/>
      <c r="K639" s="21"/>
      <c r="L639" s="21"/>
      <c r="M639" s="21"/>
    </row>
    <row r="640" spans="4:13" ht="15.75" customHeight="1">
      <c r="D640" s="21"/>
      <c r="E640" s="21"/>
      <c r="F640" s="21"/>
      <c r="I640" s="21"/>
      <c r="K640" s="21"/>
      <c r="L640" s="21"/>
      <c r="M640" s="21"/>
    </row>
    <row r="641" spans="4:13" ht="15.75" customHeight="1">
      <c r="D641" s="21"/>
      <c r="E641" s="21"/>
      <c r="F641" s="21"/>
      <c r="I641" s="21"/>
      <c r="K641" s="21"/>
      <c r="L641" s="21"/>
      <c r="M641" s="21"/>
    </row>
    <row r="642" spans="4:13" ht="15.75" customHeight="1">
      <c r="D642" s="21"/>
      <c r="E642" s="21"/>
      <c r="F642" s="21"/>
      <c r="I642" s="21"/>
      <c r="K642" s="21"/>
      <c r="L642" s="21"/>
      <c r="M642" s="21"/>
    </row>
    <row r="643" spans="4:13" ht="15.75" customHeight="1">
      <c r="D643" s="21"/>
      <c r="E643" s="21"/>
      <c r="F643" s="21"/>
      <c r="I643" s="21"/>
      <c r="K643" s="21"/>
      <c r="L643" s="21"/>
      <c r="M643" s="21"/>
    </row>
    <row r="644" spans="4:13" ht="15.75" customHeight="1">
      <c r="D644" s="21"/>
      <c r="E644" s="21"/>
      <c r="F644" s="21"/>
      <c r="I644" s="21"/>
      <c r="K644" s="21"/>
      <c r="L644" s="21"/>
      <c r="M644" s="21"/>
    </row>
    <row r="645" spans="4:13" ht="15.75" customHeight="1">
      <c r="D645" s="21"/>
      <c r="E645" s="21"/>
      <c r="F645" s="21"/>
      <c r="I645" s="21"/>
      <c r="K645" s="21"/>
      <c r="L645" s="21"/>
      <c r="M645" s="21"/>
    </row>
    <row r="646" spans="4:13" ht="15.75" customHeight="1">
      <c r="D646" s="21"/>
      <c r="E646" s="21"/>
      <c r="F646" s="21"/>
      <c r="I646" s="21"/>
      <c r="K646" s="21"/>
      <c r="L646" s="21"/>
      <c r="M646" s="21"/>
    </row>
    <row r="647" spans="4:13" ht="15.75" customHeight="1">
      <c r="D647" s="21"/>
      <c r="E647" s="21"/>
      <c r="F647" s="21"/>
      <c r="I647" s="21"/>
      <c r="K647" s="21"/>
      <c r="L647" s="21"/>
      <c r="M647" s="21"/>
    </row>
    <row r="648" spans="4:13" ht="15.75" customHeight="1">
      <c r="D648" s="21"/>
      <c r="E648" s="21"/>
      <c r="F648" s="21"/>
      <c r="I648" s="21"/>
      <c r="K648" s="21"/>
      <c r="L648" s="21"/>
      <c r="M648" s="21"/>
    </row>
    <row r="649" spans="4:13" ht="15.75" customHeight="1">
      <c r="D649" s="21"/>
      <c r="E649" s="21"/>
      <c r="F649" s="21"/>
      <c r="I649" s="21"/>
      <c r="K649" s="21"/>
      <c r="L649" s="21"/>
      <c r="M649" s="21"/>
    </row>
    <row r="650" spans="4:13" ht="15.75" customHeight="1">
      <c r="D650" s="21"/>
      <c r="E650" s="21"/>
      <c r="F650" s="21"/>
      <c r="I650" s="21"/>
      <c r="K650" s="21"/>
      <c r="L650" s="21"/>
      <c r="M650" s="21"/>
    </row>
    <row r="651" spans="4:13" ht="15.75" customHeight="1">
      <c r="D651" s="21"/>
      <c r="E651" s="21"/>
      <c r="F651" s="21"/>
      <c r="I651" s="21"/>
      <c r="K651" s="21"/>
      <c r="L651" s="21"/>
      <c r="M651" s="21"/>
    </row>
    <row r="652" spans="4:13" ht="15.75" customHeight="1">
      <c r="D652" s="21"/>
      <c r="E652" s="21"/>
      <c r="F652" s="21"/>
      <c r="I652" s="21"/>
      <c r="K652" s="21"/>
      <c r="L652" s="21"/>
      <c r="M652" s="21"/>
    </row>
    <row r="653" spans="4:13" ht="15.75" customHeight="1">
      <c r="D653" s="21"/>
      <c r="E653" s="21"/>
      <c r="F653" s="21"/>
      <c r="I653" s="21"/>
      <c r="K653" s="21"/>
      <c r="L653" s="21"/>
      <c r="M653" s="21"/>
    </row>
    <row r="654" spans="4:13" ht="15.75" customHeight="1">
      <c r="D654" s="21"/>
      <c r="E654" s="21"/>
      <c r="F654" s="21"/>
      <c r="I654" s="21"/>
      <c r="K654" s="21"/>
      <c r="L654" s="21"/>
      <c r="M654" s="21"/>
    </row>
    <row r="655" spans="4:13" ht="15.75" customHeight="1">
      <c r="D655" s="21"/>
      <c r="E655" s="21"/>
      <c r="F655" s="21"/>
      <c r="I655" s="21"/>
      <c r="K655" s="21"/>
      <c r="L655" s="21"/>
      <c r="M655" s="21"/>
    </row>
    <row r="656" spans="4:13" ht="15.75" customHeight="1">
      <c r="D656" s="21"/>
      <c r="E656" s="21"/>
      <c r="F656" s="21"/>
      <c r="I656" s="21"/>
      <c r="K656" s="21"/>
      <c r="L656" s="21"/>
      <c r="M656" s="21"/>
    </row>
    <row r="657" spans="4:13" ht="15.75" customHeight="1">
      <c r="D657" s="21"/>
      <c r="E657" s="21"/>
      <c r="F657" s="21"/>
      <c r="I657" s="21"/>
      <c r="K657" s="21"/>
      <c r="L657" s="21"/>
      <c r="M657" s="21"/>
    </row>
    <row r="658" spans="4:13" ht="15.75" customHeight="1">
      <c r="D658" s="21"/>
      <c r="E658" s="21"/>
      <c r="F658" s="21"/>
      <c r="I658" s="21"/>
      <c r="K658" s="21"/>
      <c r="L658" s="21"/>
      <c r="M658" s="21"/>
    </row>
    <row r="659" spans="4:13" ht="15.75" customHeight="1">
      <c r="D659" s="21"/>
      <c r="E659" s="21"/>
      <c r="F659" s="21"/>
      <c r="I659" s="21"/>
      <c r="K659" s="21"/>
      <c r="L659" s="21"/>
      <c r="M659" s="21"/>
    </row>
    <row r="660" spans="4:13" ht="15.75" customHeight="1">
      <c r="D660" s="21"/>
      <c r="E660" s="21"/>
      <c r="F660" s="21"/>
      <c r="I660" s="21"/>
      <c r="K660" s="21"/>
      <c r="L660" s="21"/>
      <c r="M660" s="21"/>
    </row>
    <row r="661" spans="4:13" ht="15.75" customHeight="1">
      <c r="D661" s="21"/>
      <c r="E661" s="21"/>
      <c r="F661" s="21"/>
      <c r="I661" s="21"/>
      <c r="K661" s="21"/>
      <c r="L661" s="21"/>
      <c r="M661" s="21"/>
    </row>
    <row r="662" spans="4:13" ht="15.75" customHeight="1">
      <c r="D662" s="21"/>
      <c r="E662" s="21"/>
      <c r="F662" s="21"/>
      <c r="I662" s="21"/>
      <c r="K662" s="21"/>
      <c r="L662" s="21"/>
      <c r="M662" s="21"/>
    </row>
    <row r="663" spans="4:13" ht="15.75" customHeight="1">
      <c r="D663" s="21"/>
      <c r="E663" s="21"/>
      <c r="F663" s="21"/>
      <c r="I663" s="21"/>
      <c r="K663" s="21"/>
      <c r="L663" s="21"/>
      <c r="M663" s="21"/>
    </row>
    <row r="664" spans="4:13" ht="15.75" customHeight="1">
      <c r="D664" s="21"/>
      <c r="E664" s="21"/>
      <c r="F664" s="21"/>
      <c r="I664" s="21"/>
      <c r="K664" s="21"/>
      <c r="L664" s="21"/>
      <c r="M664" s="21"/>
    </row>
    <row r="665" spans="4:13" ht="15.75" customHeight="1">
      <c r="D665" s="21"/>
      <c r="E665" s="21"/>
      <c r="F665" s="21"/>
      <c r="I665" s="21"/>
      <c r="K665" s="21"/>
      <c r="L665" s="21"/>
      <c r="M665" s="21"/>
    </row>
    <row r="666" spans="4:13" ht="15.75" customHeight="1">
      <c r="D666" s="21"/>
      <c r="E666" s="21"/>
      <c r="F666" s="21"/>
      <c r="I666" s="21"/>
      <c r="K666" s="21"/>
      <c r="L666" s="21"/>
      <c r="M666" s="21"/>
    </row>
    <row r="667" spans="4:13" ht="15.75" customHeight="1">
      <c r="D667" s="21"/>
      <c r="E667" s="21"/>
      <c r="F667" s="21"/>
      <c r="I667" s="21"/>
      <c r="K667" s="21"/>
      <c r="L667" s="21"/>
      <c r="M667" s="21"/>
    </row>
    <row r="668" spans="4:13" ht="15.75" customHeight="1">
      <c r="D668" s="21"/>
      <c r="E668" s="21"/>
      <c r="F668" s="21"/>
      <c r="I668" s="21"/>
      <c r="K668" s="21"/>
      <c r="L668" s="21"/>
      <c r="M668" s="21"/>
    </row>
    <row r="669" spans="4:13" ht="15.75" customHeight="1">
      <c r="D669" s="21"/>
      <c r="E669" s="21"/>
      <c r="F669" s="21"/>
      <c r="I669" s="21"/>
      <c r="K669" s="21"/>
      <c r="L669" s="21"/>
      <c r="M669" s="21"/>
    </row>
    <row r="670" spans="4:13" ht="15.75" customHeight="1">
      <c r="D670" s="21"/>
      <c r="E670" s="21"/>
      <c r="F670" s="21"/>
      <c r="I670" s="21"/>
      <c r="K670" s="21"/>
      <c r="L670" s="21"/>
      <c r="M670" s="21"/>
    </row>
    <row r="671" spans="4:13" ht="15.75" customHeight="1">
      <c r="D671" s="21"/>
      <c r="E671" s="21"/>
      <c r="F671" s="21"/>
      <c r="I671" s="21"/>
      <c r="K671" s="21"/>
      <c r="L671" s="21"/>
      <c r="M671" s="21"/>
    </row>
    <row r="672" spans="4:13" ht="15.75" customHeight="1">
      <c r="D672" s="21"/>
      <c r="E672" s="21"/>
      <c r="F672" s="21"/>
      <c r="I672" s="21"/>
      <c r="K672" s="21"/>
      <c r="L672" s="21"/>
      <c r="M672" s="21"/>
    </row>
    <row r="673" spans="4:13" ht="15.75" customHeight="1">
      <c r="D673" s="21"/>
      <c r="E673" s="21"/>
      <c r="F673" s="21"/>
      <c r="I673" s="21"/>
      <c r="K673" s="21"/>
      <c r="L673" s="21"/>
      <c r="M673" s="21"/>
    </row>
    <row r="674" spans="4:13" ht="15.75" customHeight="1">
      <c r="D674" s="21"/>
      <c r="E674" s="21"/>
      <c r="F674" s="21"/>
      <c r="I674" s="21"/>
      <c r="K674" s="21"/>
      <c r="L674" s="21"/>
      <c r="M674" s="21"/>
    </row>
    <row r="675" spans="4:13" ht="15.75" customHeight="1">
      <c r="D675" s="21"/>
      <c r="E675" s="21"/>
      <c r="F675" s="21"/>
      <c r="I675" s="21"/>
      <c r="K675" s="21"/>
      <c r="L675" s="21"/>
      <c r="M675" s="21"/>
    </row>
    <row r="676" spans="4:13" ht="15.75" customHeight="1">
      <c r="D676" s="21"/>
      <c r="E676" s="21"/>
      <c r="F676" s="21"/>
      <c r="I676" s="21"/>
      <c r="K676" s="21"/>
      <c r="L676" s="21"/>
      <c r="M676" s="21"/>
    </row>
    <row r="677" spans="4:13" ht="15.75" customHeight="1">
      <c r="D677" s="21"/>
      <c r="E677" s="21"/>
      <c r="F677" s="21"/>
      <c r="I677" s="21"/>
      <c r="K677" s="21"/>
      <c r="L677" s="21"/>
      <c r="M677" s="21"/>
    </row>
    <row r="678" spans="4:13" ht="15.75" customHeight="1">
      <c r="D678" s="21"/>
      <c r="E678" s="21"/>
      <c r="F678" s="21"/>
      <c r="I678" s="21"/>
      <c r="K678" s="21"/>
      <c r="L678" s="21"/>
      <c r="M678" s="21"/>
    </row>
    <row r="679" spans="4:13" ht="15.75" customHeight="1">
      <c r="D679" s="21"/>
      <c r="E679" s="21"/>
      <c r="F679" s="21"/>
      <c r="I679" s="21"/>
      <c r="K679" s="21"/>
      <c r="L679" s="21"/>
      <c r="M679" s="21"/>
    </row>
    <row r="680" spans="4:13" ht="15.75" customHeight="1">
      <c r="D680" s="21"/>
      <c r="E680" s="21"/>
      <c r="F680" s="21"/>
      <c r="I680" s="21"/>
      <c r="K680" s="21"/>
      <c r="L680" s="21"/>
      <c r="M680" s="21"/>
    </row>
    <row r="681" spans="4:13" ht="15.75" customHeight="1">
      <c r="D681" s="21"/>
      <c r="E681" s="21"/>
      <c r="F681" s="21"/>
      <c r="I681" s="21"/>
      <c r="K681" s="21"/>
      <c r="L681" s="21"/>
      <c r="M681" s="21"/>
    </row>
    <row r="682" spans="4:13" ht="15.75" customHeight="1">
      <c r="D682" s="21"/>
      <c r="E682" s="21"/>
      <c r="F682" s="21"/>
      <c r="I682" s="21"/>
      <c r="K682" s="21"/>
      <c r="L682" s="21"/>
      <c r="M682" s="21"/>
    </row>
    <row r="683" spans="4:13" ht="15.75" customHeight="1">
      <c r="D683" s="21"/>
      <c r="E683" s="21"/>
      <c r="F683" s="21"/>
      <c r="I683" s="21"/>
      <c r="K683" s="21"/>
      <c r="L683" s="21"/>
      <c r="M683" s="21"/>
    </row>
    <row r="684" spans="4:13" ht="15.75" customHeight="1">
      <c r="D684" s="21"/>
      <c r="E684" s="21"/>
      <c r="F684" s="21"/>
      <c r="I684" s="21"/>
      <c r="K684" s="21"/>
      <c r="L684" s="21"/>
      <c r="M684" s="21"/>
    </row>
    <row r="685" spans="4:13" ht="15.75" customHeight="1">
      <c r="D685" s="21"/>
      <c r="E685" s="21"/>
      <c r="F685" s="21"/>
      <c r="I685" s="21"/>
      <c r="K685" s="21"/>
      <c r="L685" s="21"/>
      <c r="M685" s="21"/>
    </row>
    <row r="686" spans="4:13" ht="15.75" customHeight="1">
      <c r="D686" s="21"/>
      <c r="E686" s="21"/>
      <c r="F686" s="21"/>
      <c r="I686" s="21"/>
      <c r="K686" s="21"/>
      <c r="L686" s="21"/>
      <c r="M686" s="21"/>
    </row>
    <row r="687" spans="4:13" ht="15.75" customHeight="1">
      <c r="D687" s="21"/>
      <c r="E687" s="21"/>
      <c r="F687" s="21"/>
      <c r="I687" s="21"/>
      <c r="K687" s="21"/>
      <c r="L687" s="21"/>
      <c r="M687" s="21"/>
    </row>
    <row r="688" spans="4:13" ht="15.75" customHeight="1">
      <c r="D688" s="21"/>
      <c r="E688" s="21"/>
      <c r="F688" s="21"/>
      <c r="I688" s="21"/>
      <c r="K688" s="21"/>
      <c r="L688" s="21"/>
      <c r="M688" s="21"/>
    </row>
    <row r="689" spans="4:13" ht="15.75" customHeight="1">
      <c r="D689" s="21"/>
      <c r="E689" s="21"/>
      <c r="F689" s="21"/>
      <c r="I689" s="21"/>
      <c r="K689" s="21"/>
      <c r="L689" s="21"/>
      <c r="M689" s="21"/>
    </row>
    <row r="690" spans="4:13" ht="15.75" customHeight="1">
      <c r="D690" s="21"/>
      <c r="E690" s="21"/>
      <c r="F690" s="21"/>
      <c r="I690" s="21"/>
      <c r="K690" s="21"/>
      <c r="L690" s="21"/>
      <c r="M690" s="21"/>
    </row>
    <row r="691" spans="4:13" ht="15.75" customHeight="1">
      <c r="D691" s="21"/>
      <c r="E691" s="21"/>
      <c r="F691" s="21"/>
      <c r="I691" s="21"/>
      <c r="K691" s="21"/>
      <c r="L691" s="21"/>
      <c r="M691" s="21"/>
    </row>
    <row r="692" spans="4:13" ht="15.75" customHeight="1">
      <c r="D692" s="21"/>
      <c r="E692" s="21"/>
      <c r="F692" s="21"/>
      <c r="I692" s="21"/>
      <c r="K692" s="21"/>
      <c r="L692" s="21"/>
      <c r="M692" s="21"/>
    </row>
    <row r="693" spans="4:13" ht="15.75" customHeight="1">
      <c r="D693" s="21"/>
      <c r="E693" s="21"/>
      <c r="F693" s="21"/>
      <c r="I693" s="21"/>
      <c r="K693" s="21"/>
      <c r="L693" s="21"/>
      <c r="M693" s="21"/>
    </row>
    <row r="694" spans="4:13" ht="15.75" customHeight="1">
      <c r="D694" s="21"/>
      <c r="E694" s="21"/>
      <c r="F694" s="21"/>
      <c r="I694" s="21"/>
      <c r="K694" s="21"/>
      <c r="L694" s="21"/>
      <c r="M694" s="21"/>
    </row>
    <row r="695" spans="4:13" ht="15.75" customHeight="1">
      <c r="D695" s="21"/>
      <c r="E695" s="21"/>
      <c r="F695" s="21"/>
      <c r="I695" s="21"/>
      <c r="K695" s="21"/>
      <c r="L695" s="21"/>
      <c r="M695" s="21"/>
    </row>
    <row r="696" spans="4:13" ht="15.75" customHeight="1">
      <c r="D696" s="21"/>
      <c r="E696" s="21"/>
      <c r="F696" s="21"/>
      <c r="I696" s="21"/>
      <c r="K696" s="21"/>
      <c r="L696" s="21"/>
      <c r="M696" s="21"/>
    </row>
    <row r="697" spans="4:13" ht="15.75" customHeight="1">
      <c r="D697" s="21"/>
      <c r="E697" s="21"/>
      <c r="F697" s="21"/>
      <c r="I697" s="21"/>
      <c r="K697" s="21"/>
      <c r="L697" s="21"/>
      <c r="M697" s="21"/>
    </row>
    <row r="698" spans="4:13" ht="15.75" customHeight="1">
      <c r="D698" s="21"/>
      <c r="E698" s="21"/>
      <c r="F698" s="21"/>
      <c r="I698" s="21"/>
      <c r="K698" s="21"/>
      <c r="L698" s="21"/>
      <c r="M698" s="21"/>
    </row>
    <row r="699" spans="4:13" ht="15.75" customHeight="1">
      <c r="D699" s="21"/>
      <c r="E699" s="21"/>
      <c r="F699" s="21"/>
      <c r="I699" s="21"/>
      <c r="K699" s="21"/>
      <c r="L699" s="21"/>
      <c r="M699" s="21"/>
    </row>
    <row r="700" spans="4:13" ht="15.75" customHeight="1">
      <c r="D700" s="21"/>
      <c r="E700" s="21"/>
      <c r="F700" s="21"/>
      <c r="I700" s="21"/>
      <c r="K700" s="21"/>
      <c r="L700" s="21"/>
      <c r="M700" s="21"/>
    </row>
    <row r="701" spans="4:13" ht="15.75" customHeight="1">
      <c r="D701" s="21"/>
      <c r="E701" s="21"/>
      <c r="F701" s="21"/>
      <c r="I701" s="21"/>
      <c r="K701" s="21"/>
      <c r="L701" s="21"/>
      <c r="M701" s="21"/>
    </row>
    <row r="702" spans="4:13" ht="15.75" customHeight="1">
      <c r="D702" s="21"/>
      <c r="E702" s="21"/>
      <c r="F702" s="21"/>
      <c r="I702" s="21"/>
      <c r="K702" s="21"/>
      <c r="L702" s="21"/>
      <c r="M702" s="21"/>
    </row>
    <row r="703" spans="4:13" ht="15.75" customHeight="1">
      <c r="D703" s="21"/>
      <c r="E703" s="21"/>
      <c r="F703" s="21"/>
      <c r="I703" s="21"/>
      <c r="K703" s="21"/>
      <c r="L703" s="21"/>
      <c r="M703" s="21"/>
    </row>
    <row r="704" spans="4:13" ht="15.75" customHeight="1">
      <c r="D704" s="21"/>
      <c r="E704" s="21"/>
      <c r="F704" s="21"/>
      <c r="I704" s="21"/>
      <c r="K704" s="21"/>
      <c r="L704" s="21"/>
      <c r="M704" s="21"/>
    </row>
    <row r="705" spans="4:13" ht="15.75" customHeight="1">
      <c r="D705" s="21"/>
      <c r="E705" s="21"/>
      <c r="F705" s="21"/>
      <c r="I705" s="21"/>
      <c r="K705" s="21"/>
      <c r="L705" s="21"/>
      <c r="M705" s="21"/>
    </row>
    <row r="706" spans="4:13" ht="15.75" customHeight="1">
      <c r="D706" s="21"/>
      <c r="E706" s="21"/>
      <c r="F706" s="21"/>
      <c r="I706" s="21"/>
      <c r="K706" s="21"/>
      <c r="L706" s="21"/>
      <c r="M706" s="21"/>
    </row>
    <row r="707" spans="4:13" ht="15.75" customHeight="1">
      <c r="D707" s="21"/>
      <c r="E707" s="21"/>
      <c r="F707" s="21"/>
      <c r="I707" s="21"/>
      <c r="K707" s="21"/>
      <c r="L707" s="21"/>
      <c r="M707" s="21"/>
    </row>
    <row r="708" spans="4:13" ht="15.75" customHeight="1">
      <c r="D708" s="21"/>
      <c r="E708" s="21"/>
      <c r="F708" s="21"/>
      <c r="I708" s="21"/>
      <c r="K708" s="21"/>
      <c r="L708" s="21"/>
      <c r="M708" s="21"/>
    </row>
    <row r="709" spans="4:13" ht="15.75" customHeight="1">
      <c r="D709" s="21"/>
      <c r="E709" s="21"/>
      <c r="F709" s="21"/>
      <c r="I709" s="21"/>
      <c r="K709" s="21"/>
      <c r="L709" s="21"/>
      <c r="M709" s="21"/>
    </row>
    <row r="710" spans="4:13" ht="15.75" customHeight="1">
      <c r="D710" s="21"/>
      <c r="E710" s="21"/>
      <c r="F710" s="21"/>
      <c r="I710" s="21"/>
      <c r="K710" s="21"/>
      <c r="L710" s="21"/>
      <c r="M710" s="21"/>
    </row>
    <row r="711" spans="4:13" ht="15.75" customHeight="1">
      <c r="D711" s="21"/>
      <c r="E711" s="21"/>
      <c r="F711" s="21"/>
      <c r="I711" s="21"/>
      <c r="K711" s="21"/>
      <c r="L711" s="21"/>
      <c r="M711" s="21"/>
    </row>
    <row r="712" spans="4:13" ht="15.75" customHeight="1">
      <c r="D712" s="21"/>
      <c r="E712" s="21"/>
      <c r="F712" s="21"/>
      <c r="I712" s="21"/>
      <c r="K712" s="21"/>
      <c r="L712" s="21"/>
      <c r="M712" s="21"/>
    </row>
    <row r="713" spans="4:13" ht="15.75" customHeight="1">
      <c r="D713" s="21"/>
      <c r="E713" s="21"/>
      <c r="F713" s="21"/>
      <c r="I713" s="21"/>
      <c r="K713" s="21"/>
      <c r="L713" s="21"/>
      <c r="M713" s="21"/>
    </row>
    <row r="714" spans="4:13" ht="15.75" customHeight="1">
      <c r="D714" s="21"/>
      <c r="E714" s="21"/>
      <c r="F714" s="21"/>
      <c r="I714" s="21"/>
      <c r="K714" s="21"/>
      <c r="L714" s="21"/>
      <c r="M714" s="21"/>
    </row>
    <row r="715" spans="4:13" ht="15.75" customHeight="1">
      <c r="D715" s="21"/>
      <c r="E715" s="21"/>
      <c r="F715" s="21"/>
      <c r="I715" s="21"/>
      <c r="K715" s="21"/>
      <c r="L715" s="21"/>
      <c r="M715" s="21"/>
    </row>
    <row r="716" spans="4:13" ht="15.75" customHeight="1">
      <c r="D716" s="21"/>
      <c r="E716" s="21"/>
      <c r="F716" s="21"/>
      <c r="I716" s="21"/>
      <c r="K716" s="21"/>
      <c r="L716" s="21"/>
      <c r="M716" s="21"/>
    </row>
    <row r="717" spans="4:13" ht="15.75" customHeight="1">
      <c r="D717" s="21"/>
      <c r="E717" s="21"/>
      <c r="F717" s="21"/>
      <c r="I717" s="21"/>
      <c r="K717" s="21"/>
      <c r="L717" s="21"/>
      <c r="M717" s="21"/>
    </row>
    <row r="718" spans="4:13" ht="15.75" customHeight="1">
      <c r="D718" s="21"/>
      <c r="E718" s="21"/>
      <c r="F718" s="21"/>
      <c r="I718" s="21"/>
      <c r="K718" s="21"/>
      <c r="L718" s="21"/>
      <c r="M718" s="21"/>
    </row>
    <row r="719" spans="4:13" ht="15.75" customHeight="1">
      <c r="D719" s="21"/>
      <c r="E719" s="21"/>
      <c r="F719" s="21"/>
      <c r="I719" s="21"/>
      <c r="K719" s="21"/>
      <c r="L719" s="21"/>
      <c r="M719" s="21"/>
    </row>
    <row r="720" spans="4:13" ht="15.75" customHeight="1">
      <c r="D720" s="21"/>
      <c r="E720" s="21"/>
      <c r="F720" s="21"/>
      <c r="I720" s="21"/>
      <c r="K720" s="21"/>
      <c r="L720" s="21"/>
      <c r="M720" s="21"/>
    </row>
    <row r="721" spans="4:13" ht="15.75" customHeight="1">
      <c r="D721" s="21"/>
      <c r="E721" s="21"/>
      <c r="F721" s="21"/>
      <c r="I721" s="21"/>
      <c r="K721" s="21"/>
      <c r="L721" s="21"/>
      <c r="M721" s="21"/>
    </row>
    <row r="722" spans="4:13" ht="15.75" customHeight="1">
      <c r="D722" s="21"/>
      <c r="E722" s="21"/>
      <c r="F722" s="21"/>
      <c r="I722" s="21"/>
      <c r="K722" s="21"/>
      <c r="L722" s="21"/>
      <c r="M722" s="21"/>
    </row>
    <row r="723" spans="4:13" ht="15.75" customHeight="1">
      <c r="D723" s="21"/>
      <c r="E723" s="21"/>
      <c r="F723" s="21"/>
      <c r="I723" s="21"/>
      <c r="K723" s="21"/>
      <c r="L723" s="21"/>
      <c r="M723" s="21"/>
    </row>
    <row r="724" spans="4:13" ht="15.75" customHeight="1">
      <c r="D724" s="21"/>
      <c r="E724" s="21"/>
      <c r="F724" s="21"/>
      <c r="I724" s="21"/>
      <c r="K724" s="21"/>
      <c r="L724" s="21"/>
      <c r="M724" s="21"/>
    </row>
    <row r="725" spans="4:13" ht="15.75" customHeight="1">
      <c r="D725" s="21"/>
      <c r="E725" s="21"/>
      <c r="F725" s="21"/>
      <c r="I725" s="21"/>
      <c r="K725" s="21"/>
      <c r="L725" s="21"/>
      <c r="M725" s="21"/>
    </row>
    <row r="726" spans="4:13" ht="15.75" customHeight="1">
      <c r="D726" s="21"/>
      <c r="E726" s="21"/>
      <c r="F726" s="21"/>
      <c r="I726" s="21"/>
      <c r="K726" s="21"/>
      <c r="L726" s="21"/>
      <c r="M726" s="21"/>
    </row>
    <row r="727" spans="4:13" ht="15.75" customHeight="1">
      <c r="D727" s="21"/>
      <c r="E727" s="21"/>
      <c r="F727" s="21"/>
      <c r="I727" s="21"/>
      <c r="K727" s="21"/>
      <c r="L727" s="21"/>
      <c r="M727" s="21"/>
    </row>
    <row r="728" spans="4:13" ht="15.75" customHeight="1">
      <c r="D728" s="21"/>
      <c r="E728" s="21"/>
      <c r="F728" s="21"/>
      <c r="I728" s="21"/>
      <c r="K728" s="21"/>
      <c r="L728" s="21"/>
      <c r="M728" s="21"/>
    </row>
    <row r="729" spans="4:13" ht="15.75" customHeight="1">
      <c r="D729" s="21"/>
      <c r="E729" s="21"/>
      <c r="F729" s="21"/>
      <c r="I729" s="21"/>
      <c r="K729" s="21"/>
      <c r="L729" s="21"/>
      <c r="M729" s="21"/>
    </row>
    <row r="730" spans="4:13" ht="15.75" customHeight="1">
      <c r="D730" s="21"/>
      <c r="E730" s="21"/>
      <c r="F730" s="21"/>
      <c r="I730" s="21"/>
      <c r="K730" s="21"/>
      <c r="L730" s="21"/>
      <c r="M730" s="21"/>
    </row>
    <row r="731" spans="4:13" ht="15.75" customHeight="1">
      <c r="D731" s="21"/>
      <c r="E731" s="21"/>
      <c r="F731" s="21"/>
      <c r="I731" s="21"/>
      <c r="K731" s="21"/>
      <c r="L731" s="21"/>
      <c r="M731" s="21"/>
    </row>
    <row r="732" spans="4:13" ht="15.75" customHeight="1">
      <c r="D732" s="21"/>
      <c r="E732" s="21"/>
      <c r="F732" s="21"/>
      <c r="I732" s="21"/>
      <c r="K732" s="21"/>
      <c r="L732" s="21"/>
      <c r="M732" s="21"/>
    </row>
    <row r="733" spans="4:13" ht="15.75" customHeight="1">
      <c r="D733" s="21"/>
      <c r="E733" s="21"/>
      <c r="F733" s="21"/>
      <c r="I733" s="21"/>
      <c r="K733" s="21"/>
      <c r="L733" s="21"/>
      <c r="M733" s="21"/>
    </row>
    <row r="734" spans="4:13" ht="15.75" customHeight="1">
      <c r="D734" s="21"/>
      <c r="E734" s="21"/>
      <c r="F734" s="21"/>
      <c r="I734" s="21"/>
      <c r="K734" s="21"/>
      <c r="L734" s="21"/>
      <c r="M734" s="21"/>
    </row>
    <row r="735" spans="4:13" ht="15.75" customHeight="1">
      <c r="D735" s="21"/>
      <c r="E735" s="21"/>
      <c r="F735" s="21"/>
      <c r="I735" s="21"/>
      <c r="K735" s="21"/>
      <c r="L735" s="21"/>
      <c r="M735" s="21"/>
    </row>
    <row r="736" spans="4:13" ht="15.75" customHeight="1">
      <c r="D736" s="21"/>
      <c r="E736" s="21"/>
      <c r="F736" s="21"/>
      <c r="I736" s="21"/>
      <c r="K736" s="21"/>
      <c r="L736" s="21"/>
      <c r="M736" s="21"/>
    </row>
    <row r="737" spans="4:13" ht="15.75" customHeight="1">
      <c r="D737" s="21"/>
      <c r="E737" s="21"/>
      <c r="F737" s="21"/>
      <c r="I737" s="21"/>
      <c r="K737" s="21"/>
      <c r="L737" s="21"/>
      <c r="M737" s="21"/>
    </row>
    <row r="738" spans="4:13" ht="15.75" customHeight="1">
      <c r="D738" s="21"/>
      <c r="E738" s="21"/>
      <c r="F738" s="21"/>
      <c r="I738" s="21"/>
      <c r="K738" s="21"/>
      <c r="L738" s="21"/>
      <c r="M738" s="21"/>
    </row>
    <row r="739" spans="4:13" ht="15.75" customHeight="1">
      <c r="D739" s="21"/>
      <c r="E739" s="21"/>
      <c r="F739" s="21"/>
      <c r="I739" s="21"/>
      <c r="K739" s="21"/>
      <c r="L739" s="21"/>
      <c r="M739" s="21"/>
    </row>
    <row r="740" spans="4:13" ht="15.75" customHeight="1">
      <c r="D740" s="21"/>
      <c r="E740" s="21"/>
      <c r="F740" s="21"/>
      <c r="I740" s="21"/>
      <c r="K740" s="21"/>
      <c r="L740" s="21"/>
      <c r="M740" s="21"/>
    </row>
    <row r="741" spans="4:13" ht="15.75" customHeight="1">
      <c r="D741" s="21"/>
      <c r="E741" s="21"/>
      <c r="F741" s="21"/>
      <c r="I741" s="21"/>
      <c r="K741" s="21"/>
      <c r="L741" s="21"/>
      <c r="M741" s="21"/>
    </row>
    <row r="742" spans="4:13" ht="15.75" customHeight="1">
      <c r="D742" s="21"/>
      <c r="E742" s="21"/>
      <c r="F742" s="21"/>
      <c r="I742" s="21"/>
      <c r="K742" s="21"/>
      <c r="L742" s="21"/>
      <c r="M742" s="21"/>
    </row>
    <row r="743" spans="4:13" ht="15.75" customHeight="1">
      <c r="D743" s="21"/>
      <c r="E743" s="21"/>
      <c r="F743" s="21"/>
      <c r="I743" s="21"/>
      <c r="K743" s="21"/>
      <c r="L743" s="21"/>
      <c r="M743" s="21"/>
    </row>
    <row r="744" spans="4:13" ht="15.75" customHeight="1">
      <c r="D744" s="21"/>
      <c r="E744" s="21"/>
      <c r="F744" s="21"/>
      <c r="I744" s="21"/>
      <c r="K744" s="21"/>
      <c r="L744" s="21"/>
      <c r="M744" s="21"/>
    </row>
    <row r="745" spans="4:13" ht="15.75" customHeight="1">
      <c r="D745" s="21"/>
      <c r="E745" s="21"/>
      <c r="F745" s="21"/>
      <c r="I745" s="21"/>
      <c r="K745" s="21"/>
      <c r="L745" s="21"/>
      <c r="M745" s="21"/>
    </row>
    <row r="746" spans="4:13" ht="15.75" customHeight="1">
      <c r="D746" s="21"/>
      <c r="E746" s="21"/>
      <c r="F746" s="21"/>
      <c r="I746" s="21"/>
      <c r="K746" s="21"/>
      <c r="L746" s="21"/>
      <c r="M746" s="21"/>
    </row>
    <row r="747" spans="4:13" ht="15.75" customHeight="1">
      <c r="D747" s="21"/>
      <c r="E747" s="21"/>
      <c r="F747" s="21"/>
      <c r="I747" s="21"/>
      <c r="K747" s="21"/>
      <c r="L747" s="21"/>
      <c r="M747" s="21"/>
    </row>
    <row r="748" spans="4:13" ht="15.75" customHeight="1">
      <c r="D748" s="21"/>
      <c r="E748" s="21"/>
      <c r="F748" s="21"/>
      <c r="I748" s="21"/>
      <c r="K748" s="21"/>
      <c r="L748" s="21"/>
      <c r="M748" s="21"/>
    </row>
    <row r="749" spans="4:13" ht="15.75" customHeight="1">
      <c r="D749" s="21"/>
      <c r="E749" s="21"/>
      <c r="F749" s="21"/>
      <c r="I749" s="21"/>
      <c r="K749" s="21"/>
      <c r="L749" s="21"/>
      <c r="M749" s="21"/>
    </row>
    <row r="750" spans="4:13" ht="15.75" customHeight="1">
      <c r="D750" s="21"/>
      <c r="E750" s="21"/>
      <c r="F750" s="21"/>
      <c r="I750" s="21"/>
      <c r="K750" s="21"/>
      <c r="L750" s="21"/>
      <c r="M750" s="21"/>
    </row>
    <row r="751" spans="4:13" ht="15.75" customHeight="1">
      <c r="D751" s="21"/>
      <c r="E751" s="21"/>
      <c r="F751" s="21"/>
      <c r="I751" s="21"/>
      <c r="K751" s="21"/>
      <c r="L751" s="21"/>
      <c r="M751" s="21"/>
    </row>
    <row r="752" spans="4:13" ht="15.75" customHeight="1">
      <c r="D752" s="21"/>
      <c r="E752" s="21"/>
      <c r="F752" s="21"/>
      <c r="I752" s="21"/>
      <c r="K752" s="21"/>
      <c r="L752" s="21"/>
      <c r="M752" s="21"/>
    </row>
    <row r="753" spans="4:13" ht="15.75" customHeight="1">
      <c r="D753" s="21"/>
      <c r="E753" s="21"/>
      <c r="F753" s="21"/>
      <c r="I753" s="21"/>
      <c r="K753" s="21"/>
      <c r="L753" s="21"/>
      <c r="M753" s="21"/>
    </row>
    <row r="754" spans="4:13" ht="15.75" customHeight="1">
      <c r="D754" s="21"/>
      <c r="E754" s="21"/>
      <c r="F754" s="21"/>
      <c r="I754" s="21"/>
      <c r="K754" s="21"/>
      <c r="L754" s="21"/>
      <c r="M754" s="21"/>
    </row>
    <row r="755" spans="4:13" ht="15.75" customHeight="1">
      <c r="D755" s="21"/>
      <c r="E755" s="21"/>
      <c r="F755" s="21"/>
      <c r="I755" s="21"/>
      <c r="K755" s="21"/>
      <c r="L755" s="21"/>
      <c r="M755" s="21"/>
    </row>
    <row r="756" spans="4:13" ht="15.75" customHeight="1">
      <c r="D756" s="21"/>
      <c r="E756" s="21"/>
      <c r="F756" s="21"/>
      <c r="I756" s="21"/>
      <c r="K756" s="21"/>
      <c r="L756" s="21"/>
      <c r="M756" s="21"/>
    </row>
    <row r="757" spans="4:13" ht="15.75" customHeight="1">
      <c r="D757" s="21"/>
      <c r="E757" s="21"/>
      <c r="F757" s="21"/>
      <c r="I757" s="21"/>
      <c r="K757" s="21"/>
      <c r="L757" s="21"/>
      <c r="M757" s="21"/>
    </row>
    <row r="758" spans="4:13" ht="15.75" customHeight="1">
      <c r="D758" s="21"/>
      <c r="E758" s="21"/>
      <c r="F758" s="21"/>
      <c r="I758" s="21"/>
      <c r="K758" s="21"/>
      <c r="L758" s="21"/>
      <c r="M758" s="21"/>
    </row>
    <row r="759" spans="4:13" ht="15.75" customHeight="1">
      <c r="D759" s="21"/>
      <c r="E759" s="21"/>
      <c r="F759" s="21"/>
      <c r="I759" s="21"/>
      <c r="K759" s="21"/>
      <c r="L759" s="21"/>
      <c r="M759" s="21"/>
    </row>
    <row r="760" spans="4:13" ht="15.75" customHeight="1">
      <c r="D760" s="21"/>
      <c r="E760" s="21"/>
      <c r="F760" s="21"/>
      <c r="I760" s="21"/>
      <c r="K760" s="21"/>
      <c r="L760" s="21"/>
      <c r="M760" s="21"/>
    </row>
    <row r="761" spans="4:13" ht="15.75" customHeight="1">
      <c r="D761" s="21"/>
      <c r="E761" s="21"/>
      <c r="F761" s="21"/>
      <c r="I761" s="21"/>
      <c r="K761" s="21"/>
      <c r="L761" s="21"/>
      <c r="M761" s="21"/>
    </row>
    <row r="762" spans="4:13" ht="15.75" customHeight="1">
      <c r="D762" s="21"/>
      <c r="E762" s="21"/>
      <c r="F762" s="21"/>
      <c r="I762" s="21"/>
      <c r="K762" s="21"/>
      <c r="L762" s="21"/>
      <c r="M762" s="21"/>
    </row>
    <row r="763" spans="4:13" ht="15.75" customHeight="1">
      <c r="D763" s="21"/>
      <c r="E763" s="21"/>
      <c r="F763" s="21"/>
      <c r="I763" s="21"/>
      <c r="K763" s="21"/>
      <c r="L763" s="21"/>
      <c r="M763" s="21"/>
    </row>
    <row r="764" spans="4:13" ht="15.75" customHeight="1">
      <c r="D764" s="21"/>
      <c r="E764" s="21"/>
      <c r="F764" s="21"/>
      <c r="I764" s="21"/>
      <c r="K764" s="21"/>
      <c r="L764" s="21"/>
      <c r="M764" s="21"/>
    </row>
    <row r="765" spans="4:13" ht="15.75" customHeight="1">
      <c r="D765" s="21"/>
      <c r="E765" s="21"/>
      <c r="F765" s="21"/>
      <c r="I765" s="21"/>
      <c r="K765" s="21"/>
      <c r="L765" s="21"/>
      <c r="M765" s="21"/>
    </row>
    <row r="766" spans="4:13" ht="15.75" customHeight="1">
      <c r="D766" s="21"/>
      <c r="E766" s="21"/>
      <c r="F766" s="21"/>
      <c r="I766" s="21"/>
      <c r="K766" s="21"/>
      <c r="L766" s="21"/>
      <c r="M766" s="21"/>
    </row>
    <row r="767" spans="4:13" ht="15.75" customHeight="1">
      <c r="D767" s="21"/>
      <c r="E767" s="21"/>
      <c r="F767" s="21"/>
      <c r="I767" s="21"/>
      <c r="K767" s="21"/>
      <c r="L767" s="21"/>
      <c r="M767" s="21"/>
    </row>
    <row r="768" spans="4:13" ht="15.75" customHeight="1">
      <c r="D768" s="21"/>
      <c r="E768" s="21"/>
      <c r="F768" s="21"/>
      <c r="I768" s="21"/>
      <c r="K768" s="21"/>
      <c r="L768" s="21"/>
      <c r="M768" s="21"/>
    </row>
    <row r="769" spans="4:13" ht="15.75" customHeight="1">
      <c r="D769" s="21"/>
      <c r="E769" s="21"/>
      <c r="F769" s="21"/>
      <c r="I769" s="21"/>
      <c r="K769" s="21"/>
      <c r="L769" s="21"/>
      <c r="M769" s="21"/>
    </row>
    <row r="770" spans="4:13" ht="15.75" customHeight="1">
      <c r="D770" s="21"/>
      <c r="E770" s="21"/>
      <c r="F770" s="21"/>
      <c r="I770" s="21"/>
      <c r="K770" s="21"/>
      <c r="L770" s="21"/>
      <c r="M770" s="21"/>
    </row>
    <row r="771" spans="4:13" ht="15.75" customHeight="1">
      <c r="D771" s="21"/>
      <c r="E771" s="21"/>
      <c r="F771" s="21"/>
      <c r="I771" s="21"/>
      <c r="K771" s="21"/>
      <c r="L771" s="21"/>
      <c r="M771" s="21"/>
    </row>
    <row r="772" spans="4:13" ht="15.75" customHeight="1">
      <c r="D772" s="21"/>
      <c r="E772" s="21"/>
      <c r="F772" s="21"/>
      <c r="I772" s="21"/>
      <c r="K772" s="21"/>
      <c r="L772" s="21"/>
      <c r="M772" s="21"/>
    </row>
    <row r="773" spans="4:13" ht="15.75" customHeight="1">
      <c r="D773" s="21"/>
      <c r="E773" s="21"/>
      <c r="F773" s="21"/>
      <c r="I773" s="21"/>
      <c r="K773" s="21"/>
      <c r="L773" s="21"/>
      <c r="M773" s="21"/>
    </row>
    <row r="774" spans="4:13" ht="15.75" customHeight="1">
      <c r="D774" s="21"/>
      <c r="E774" s="21"/>
      <c r="F774" s="21"/>
      <c r="I774" s="21"/>
      <c r="K774" s="21"/>
      <c r="L774" s="21"/>
      <c r="M774" s="21"/>
    </row>
    <row r="775" spans="4:13" ht="15.75" customHeight="1">
      <c r="D775" s="21"/>
      <c r="E775" s="21"/>
      <c r="F775" s="21"/>
      <c r="I775" s="21"/>
      <c r="K775" s="21"/>
      <c r="L775" s="21"/>
      <c r="M775" s="21"/>
    </row>
    <row r="776" spans="4:13" ht="15.75" customHeight="1">
      <c r="D776" s="21"/>
      <c r="E776" s="21"/>
      <c r="F776" s="21"/>
      <c r="I776" s="21"/>
      <c r="K776" s="21"/>
      <c r="L776" s="21"/>
      <c r="M776" s="21"/>
    </row>
    <row r="777" spans="4:13" ht="15.75" customHeight="1">
      <c r="D777" s="21"/>
      <c r="E777" s="21"/>
      <c r="F777" s="21"/>
      <c r="I777" s="21"/>
      <c r="K777" s="21"/>
      <c r="L777" s="21"/>
      <c r="M777" s="21"/>
    </row>
    <row r="778" spans="4:13" ht="15.75" customHeight="1">
      <c r="D778" s="21"/>
      <c r="E778" s="21"/>
      <c r="F778" s="21"/>
      <c r="I778" s="21"/>
      <c r="K778" s="21"/>
      <c r="L778" s="21"/>
      <c r="M778" s="21"/>
    </row>
    <row r="779" spans="4:13" ht="15.75" customHeight="1">
      <c r="D779" s="21"/>
      <c r="E779" s="21"/>
      <c r="F779" s="21"/>
      <c r="I779" s="21"/>
      <c r="K779" s="21"/>
      <c r="L779" s="21"/>
      <c r="M779" s="21"/>
    </row>
    <row r="780" spans="4:13" ht="15.75" customHeight="1">
      <c r="D780" s="21"/>
      <c r="E780" s="21"/>
      <c r="F780" s="21"/>
      <c r="I780" s="21"/>
      <c r="K780" s="21"/>
      <c r="L780" s="21"/>
      <c r="M780" s="21"/>
    </row>
    <row r="781" spans="4:13" ht="15.75" customHeight="1">
      <c r="D781" s="21"/>
      <c r="E781" s="21"/>
      <c r="F781" s="21"/>
      <c r="I781" s="21"/>
      <c r="K781" s="21"/>
      <c r="L781" s="21"/>
      <c r="M781" s="21"/>
    </row>
    <row r="782" spans="4:13" ht="15.75" customHeight="1">
      <c r="D782" s="21"/>
      <c r="E782" s="21"/>
      <c r="F782" s="21"/>
      <c r="I782" s="21"/>
      <c r="K782" s="21"/>
      <c r="L782" s="21"/>
      <c r="M782" s="21"/>
    </row>
    <row r="783" spans="4:13" ht="15.75" customHeight="1">
      <c r="D783" s="21"/>
      <c r="E783" s="21"/>
      <c r="F783" s="21"/>
      <c r="I783" s="21"/>
      <c r="K783" s="21"/>
      <c r="L783" s="21"/>
      <c r="M783" s="21"/>
    </row>
    <row r="784" spans="4:13" ht="15.75" customHeight="1">
      <c r="D784" s="21"/>
      <c r="E784" s="21"/>
      <c r="F784" s="21"/>
      <c r="I784" s="21"/>
      <c r="K784" s="21"/>
      <c r="L784" s="21"/>
      <c r="M784" s="21"/>
    </row>
    <row r="785" spans="4:13" ht="15.75" customHeight="1">
      <c r="D785" s="21"/>
      <c r="E785" s="21"/>
      <c r="F785" s="21"/>
      <c r="I785" s="21"/>
      <c r="K785" s="21"/>
      <c r="L785" s="21"/>
      <c r="M785" s="21"/>
    </row>
    <row r="786" spans="4:13" ht="15.75" customHeight="1">
      <c r="D786" s="21"/>
      <c r="E786" s="21"/>
      <c r="F786" s="21"/>
      <c r="I786" s="21"/>
      <c r="K786" s="21"/>
      <c r="L786" s="21"/>
      <c r="M786" s="21"/>
    </row>
    <row r="787" spans="4:13" ht="15.75" customHeight="1">
      <c r="D787" s="21"/>
      <c r="E787" s="21"/>
      <c r="F787" s="21"/>
      <c r="I787" s="21"/>
      <c r="K787" s="21"/>
      <c r="L787" s="21"/>
      <c r="M787" s="21"/>
    </row>
    <row r="788" spans="4:13" ht="15.75" customHeight="1">
      <c r="D788" s="21"/>
      <c r="E788" s="21"/>
      <c r="F788" s="21"/>
      <c r="I788" s="21"/>
      <c r="K788" s="21"/>
      <c r="L788" s="21"/>
      <c r="M788" s="21"/>
    </row>
    <row r="789" spans="4:13" ht="15.75" customHeight="1">
      <c r="D789" s="21"/>
      <c r="E789" s="21"/>
      <c r="F789" s="21"/>
      <c r="I789" s="21"/>
      <c r="K789" s="21"/>
      <c r="L789" s="21"/>
      <c r="M789" s="21"/>
    </row>
    <row r="790" spans="4:13" ht="15.75" customHeight="1">
      <c r="D790" s="21"/>
      <c r="E790" s="21"/>
      <c r="F790" s="21"/>
      <c r="I790" s="21"/>
      <c r="K790" s="21"/>
      <c r="L790" s="21"/>
      <c r="M790" s="21"/>
    </row>
    <row r="791" spans="4:13" ht="15.75" customHeight="1">
      <c r="D791" s="21"/>
      <c r="E791" s="21"/>
      <c r="F791" s="21"/>
      <c r="I791" s="21"/>
      <c r="K791" s="21"/>
      <c r="L791" s="21"/>
      <c r="M791" s="21"/>
    </row>
    <row r="792" spans="4:13" ht="15.75" customHeight="1">
      <c r="D792" s="21"/>
      <c r="E792" s="21"/>
      <c r="F792" s="21"/>
      <c r="I792" s="21"/>
      <c r="K792" s="21"/>
      <c r="L792" s="21"/>
      <c r="M792" s="21"/>
    </row>
    <row r="793" spans="4:13" ht="15.75" customHeight="1">
      <c r="D793" s="21"/>
      <c r="E793" s="21"/>
      <c r="F793" s="21"/>
      <c r="I793" s="21"/>
      <c r="K793" s="21"/>
      <c r="L793" s="21"/>
      <c r="M793" s="21"/>
    </row>
    <row r="794" spans="4:13" ht="15.75" customHeight="1">
      <c r="D794" s="21"/>
      <c r="E794" s="21"/>
      <c r="F794" s="21"/>
      <c r="I794" s="21"/>
      <c r="K794" s="21"/>
      <c r="L794" s="21"/>
      <c r="M794" s="21"/>
    </row>
    <row r="795" spans="4:13" ht="15.75" customHeight="1">
      <c r="D795" s="21"/>
      <c r="E795" s="21"/>
      <c r="F795" s="21"/>
      <c r="I795" s="21"/>
      <c r="K795" s="21"/>
      <c r="L795" s="21"/>
      <c r="M795" s="21"/>
    </row>
    <row r="796" spans="4:13" ht="15.75" customHeight="1">
      <c r="D796" s="21"/>
      <c r="E796" s="21"/>
      <c r="F796" s="21"/>
      <c r="I796" s="21"/>
      <c r="K796" s="21"/>
      <c r="L796" s="21"/>
      <c r="M796" s="21"/>
    </row>
    <row r="797" spans="4:13" ht="15.75" customHeight="1">
      <c r="D797" s="21"/>
      <c r="E797" s="21"/>
      <c r="F797" s="21"/>
      <c r="I797" s="21"/>
      <c r="K797" s="21"/>
      <c r="L797" s="21"/>
      <c r="M797" s="21"/>
    </row>
    <row r="798" spans="4:13" ht="15.75" customHeight="1">
      <c r="D798" s="21"/>
      <c r="E798" s="21"/>
      <c r="F798" s="21"/>
      <c r="I798" s="21"/>
      <c r="K798" s="21"/>
      <c r="L798" s="21"/>
      <c r="M798" s="21"/>
    </row>
    <row r="799" spans="4:13" ht="15.75" customHeight="1">
      <c r="D799" s="21"/>
      <c r="E799" s="21"/>
      <c r="F799" s="21"/>
      <c r="I799" s="21"/>
      <c r="K799" s="21"/>
      <c r="L799" s="21"/>
      <c r="M799" s="21"/>
    </row>
    <row r="800" spans="4:13" ht="15.75" customHeight="1">
      <c r="D800" s="21"/>
      <c r="E800" s="21"/>
      <c r="F800" s="21"/>
      <c r="I800" s="21"/>
      <c r="K800" s="21"/>
      <c r="L800" s="21"/>
      <c r="M800" s="21"/>
    </row>
    <row r="801" spans="4:13" ht="15.75" customHeight="1">
      <c r="D801" s="21"/>
      <c r="E801" s="21"/>
      <c r="F801" s="21"/>
      <c r="I801" s="21"/>
      <c r="K801" s="21"/>
      <c r="L801" s="21"/>
      <c r="M801" s="21"/>
    </row>
    <row r="802" spans="4:13" ht="15.75" customHeight="1">
      <c r="D802" s="21"/>
      <c r="E802" s="21"/>
      <c r="F802" s="21"/>
      <c r="I802" s="21"/>
      <c r="K802" s="21"/>
      <c r="L802" s="21"/>
      <c r="M802" s="21"/>
    </row>
    <row r="803" spans="4:13" ht="15.75" customHeight="1">
      <c r="D803" s="21"/>
      <c r="E803" s="21"/>
      <c r="F803" s="21"/>
      <c r="I803" s="21"/>
      <c r="K803" s="21"/>
      <c r="L803" s="21"/>
      <c r="M803" s="21"/>
    </row>
    <row r="804" spans="4:13" ht="15.75" customHeight="1">
      <c r="D804" s="21"/>
      <c r="E804" s="21"/>
      <c r="F804" s="21"/>
      <c r="I804" s="21"/>
      <c r="K804" s="21"/>
      <c r="L804" s="21"/>
      <c r="M804" s="21"/>
    </row>
    <row r="805" spans="4:13" ht="15.75" customHeight="1">
      <c r="D805" s="21"/>
      <c r="E805" s="21"/>
      <c r="F805" s="21"/>
      <c r="I805" s="21"/>
      <c r="K805" s="21"/>
      <c r="L805" s="21"/>
      <c r="M805" s="21"/>
    </row>
    <row r="806" spans="4:13" ht="15.75" customHeight="1">
      <c r="D806" s="21"/>
      <c r="E806" s="21"/>
      <c r="F806" s="21"/>
      <c r="I806" s="21"/>
      <c r="K806" s="21"/>
      <c r="L806" s="21"/>
      <c r="M806" s="21"/>
    </row>
    <row r="807" spans="4:13" ht="15.75" customHeight="1">
      <c r="D807" s="21"/>
      <c r="E807" s="21"/>
      <c r="F807" s="21"/>
      <c r="I807" s="21"/>
      <c r="K807" s="21"/>
      <c r="L807" s="21"/>
      <c r="M807" s="21"/>
    </row>
    <row r="808" spans="4:13" ht="15.75" customHeight="1">
      <c r="D808" s="21"/>
      <c r="E808" s="21"/>
      <c r="F808" s="21"/>
      <c r="I808" s="21"/>
      <c r="K808" s="21"/>
      <c r="L808" s="21"/>
      <c r="M808" s="21"/>
    </row>
    <row r="809" spans="4:13" ht="15.75" customHeight="1">
      <c r="D809" s="21"/>
      <c r="E809" s="21"/>
      <c r="F809" s="21"/>
      <c r="I809" s="21"/>
      <c r="K809" s="21"/>
      <c r="L809" s="21"/>
      <c r="M809" s="21"/>
    </row>
    <row r="810" spans="4:13" ht="15.75" customHeight="1">
      <c r="D810" s="21"/>
      <c r="E810" s="21"/>
      <c r="F810" s="21"/>
      <c r="I810" s="21"/>
      <c r="K810" s="21"/>
      <c r="L810" s="21"/>
      <c r="M810" s="21"/>
    </row>
    <row r="811" spans="4:13" ht="15.75" customHeight="1">
      <c r="D811" s="21"/>
      <c r="E811" s="21"/>
      <c r="F811" s="21"/>
      <c r="I811" s="21"/>
      <c r="K811" s="21"/>
      <c r="L811" s="21"/>
      <c r="M811" s="21"/>
    </row>
    <row r="812" spans="4:13" ht="15.75" customHeight="1">
      <c r="D812" s="21"/>
      <c r="E812" s="21"/>
      <c r="F812" s="21"/>
      <c r="I812" s="21"/>
      <c r="K812" s="21"/>
      <c r="L812" s="21"/>
      <c r="M812" s="21"/>
    </row>
    <row r="813" spans="4:13" ht="15.75" customHeight="1">
      <c r="D813" s="21"/>
      <c r="E813" s="21"/>
      <c r="F813" s="21"/>
      <c r="I813" s="21"/>
      <c r="K813" s="21"/>
      <c r="L813" s="21"/>
      <c r="M813" s="21"/>
    </row>
    <row r="814" spans="4:13" ht="15.75" customHeight="1">
      <c r="D814" s="21"/>
      <c r="E814" s="21"/>
      <c r="F814" s="21"/>
      <c r="I814" s="21"/>
      <c r="K814" s="21"/>
      <c r="L814" s="21"/>
      <c r="M814" s="21"/>
    </row>
    <row r="815" spans="4:13" ht="15.75" customHeight="1">
      <c r="D815" s="21"/>
      <c r="E815" s="21"/>
      <c r="F815" s="21"/>
      <c r="I815" s="21"/>
      <c r="K815" s="21"/>
      <c r="L815" s="21"/>
      <c r="M815" s="21"/>
    </row>
    <row r="816" spans="4:13" ht="15.75" customHeight="1">
      <c r="D816" s="21"/>
      <c r="E816" s="21"/>
      <c r="F816" s="21"/>
      <c r="I816" s="21"/>
      <c r="K816" s="21"/>
      <c r="L816" s="21"/>
      <c r="M816" s="21"/>
    </row>
    <row r="817" spans="4:13" ht="15.75" customHeight="1">
      <c r="D817" s="21"/>
      <c r="E817" s="21"/>
      <c r="F817" s="21"/>
      <c r="I817" s="21"/>
      <c r="K817" s="21"/>
      <c r="L817" s="21"/>
      <c r="M817" s="21"/>
    </row>
    <row r="818" spans="4:13" ht="15.75" customHeight="1">
      <c r="D818" s="21"/>
      <c r="E818" s="21"/>
      <c r="F818" s="21"/>
      <c r="I818" s="21"/>
      <c r="K818" s="21"/>
      <c r="L818" s="21"/>
      <c r="M818" s="21"/>
    </row>
    <row r="819" spans="4:13" ht="15.75" customHeight="1">
      <c r="D819" s="21"/>
      <c r="E819" s="21"/>
      <c r="F819" s="21"/>
      <c r="I819" s="21"/>
      <c r="K819" s="21"/>
      <c r="L819" s="21"/>
      <c r="M819" s="21"/>
    </row>
    <row r="820" spans="4:13" ht="15.75" customHeight="1">
      <c r="D820" s="21"/>
      <c r="E820" s="21"/>
      <c r="F820" s="21"/>
      <c r="I820" s="21"/>
      <c r="K820" s="21"/>
      <c r="L820" s="21"/>
      <c r="M820" s="21"/>
    </row>
    <row r="821" spans="4:13" ht="15.75" customHeight="1">
      <c r="D821" s="21"/>
      <c r="E821" s="21"/>
      <c r="F821" s="21"/>
      <c r="I821" s="21"/>
      <c r="K821" s="21"/>
      <c r="L821" s="21"/>
      <c r="M821" s="21"/>
    </row>
    <row r="822" spans="4:13" ht="15.75" customHeight="1">
      <c r="D822" s="21"/>
      <c r="E822" s="21"/>
      <c r="F822" s="21"/>
      <c r="I822" s="21"/>
      <c r="K822" s="21"/>
      <c r="L822" s="21"/>
      <c r="M822" s="21"/>
    </row>
    <row r="823" spans="4:13" ht="15.75" customHeight="1">
      <c r="D823" s="21"/>
      <c r="E823" s="21"/>
      <c r="F823" s="21"/>
      <c r="I823" s="21"/>
      <c r="K823" s="21"/>
      <c r="L823" s="21"/>
      <c r="M823" s="21"/>
    </row>
    <row r="824" spans="4:13" ht="15.75" customHeight="1">
      <c r="D824" s="21"/>
      <c r="E824" s="21"/>
      <c r="F824" s="21"/>
      <c r="I824" s="21"/>
      <c r="K824" s="21"/>
      <c r="L824" s="21"/>
      <c r="M824" s="21"/>
    </row>
    <row r="825" spans="4:13" ht="15.75" customHeight="1">
      <c r="D825" s="21"/>
      <c r="E825" s="21"/>
      <c r="F825" s="21"/>
      <c r="I825" s="21"/>
      <c r="K825" s="21"/>
      <c r="L825" s="21"/>
      <c r="M825" s="21"/>
    </row>
    <row r="826" spans="4:13" ht="15.75" customHeight="1">
      <c r="D826" s="21"/>
      <c r="E826" s="21"/>
      <c r="F826" s="21"/>
      <c r="I826" s="21"/>
      <c r="K826" s="21"/>
      <c r="L826" s="21"/>
      <c r="M826" s="21"/>
    </row>
    <row r="827" spans="4:13" ht="15.75" customHeight="1">
      <c r="D827" s="21"/>
      <c r="E827" s="21"/>
      <c r="F827" s="21"/>
      <c r="I827" s="21"/>
      <c r="K827" s="21"/>
      <c r="L827" s="21"/>
      <c r="M827" s="21"/>
    </row>
    <row r="828" spans="4:13" ht="15.75" customHeight="1">
      <c r="D828" s="21"/>
      <c r="E828" s="21"/>
      <c r="F828" s="21"/>
      <c r="I828" s="21"/>
      <c r="K828" s="21"/>
      <c r="L828" s="21"/>
      <c r="M828" s="21"/>
    </row>
    <row r="829" spans="4:13" ht="15.75" customHeight="1">
      <c r="D829" s="21"/>
      <c r="E829" s="21"/>
      <c r="F829" s="21"/>
      <c r="I829" s="21"/>
      <c r="K829" s="21"/>
      <c r="L829" s="21"/>
      <c r="M829" s="21"/>
    </row>
    <row r="830" spans="4:13" ht="15.75" customHeight="1">
      <c r="D830" s="21"/>
      <c r="E830" s="21"/>
      <c r="F830" s="21"/>
      <c r="I830" s="21"/>
      <c r="K830" s="21"/>
      <c r="L830" s="21"/>
      <c r="M830" s="21"/>
    </row>
    <row r="831" spans="4:13" ht="15.75" customHeight="1">
      <c r="D831" s="21"/>
      <c r="E831" s="21"/>
      <c r="F831" s="21"/>
      <c r="I831" s="21"/>
      <c r="K831" s="21"/>
      <c r="L831" s="21"/>
      <c r="M831" s="21"/>
    </row>
    <row r="832" spans="4:13" ht="15.75" customHeight="1">
      <c r="D832" s="21"/>
      <c r="E832" s="21"/>
      <c r="F832" s="21"/>
      <c r="I832" s="21"/>
      <c r="K832" s="21"/>
      <c r="L832" s="21"/>
      <c r="M832" s="21"/>
    </row>
    <row r="833" spans="4:13" ht="15.75" customHeight="1">
      <c r="D833" s="21"/>
      <c r="E833" s="21"/>
      <c r="F833" s="21"/>
      <c r="I833" s="21"/>
      <c r="K833" s="21"/>
      <c r="L833" s="21"/>
      <c r="M833" s="21"/>
    </row>
    <row r="834" spans="4:13" ht="15.75" customHeight="1">
      <c r="D834" s="21"/>
      <c r="E834" s="21"/>
      <c r="F834" s="21"/>
      <c r="I834" s="21"/>
      <c r="K834" s="21"/>
      <c r="L834" s="21"/>
      <c r="M834" s="21"/>
    </row>
    <row r="835" spans="4:13" ht="15.75" customHeight="1">
      <c r="D835" s="21"/>
      <c r="E835" s="21"/>
      <c r="F835" s="21"/>
      <c r="I835" s="21"/>
      <c r="K835" s="21"/>
      <c r="L835" s="21"/>
      <c r="M835" s="21"/>
    </row>
    <row r="836" spans="4:13" ht="15.75" customHeight="1">
      <c r="D836" s="21"/>
      <c r="E836" s="21"/>
      <c r="F836" s="21"/>
      <c r="I836" s="21"/>
      <c r="K836" s="21"/>
      <c r="L836" s="21"/>
      <c r="M836" s="21"/>
    </row>
    <row r="837" spans="4:13" ht="15.75" customHeight="1">
      <c r="D837" s="21"/>
      <c r="E837" s="21"/>
      <c r="F837" s="21"/>
      <c r="I837" s="21"/>
      <c r="K837" s="21"/>
      <c r="L837" s="21"/>
      <c r="M837" s="21"/>
    </row>
    <row r="838" spans="4:13" ht="15.75" customHeight="1">
      <c r="D838" s="21"/>
      <c r="E838" s="21"/>
      <c r="F838" s="21"/>
      <c r="I838" s="21"/>
      <c r="K838" s="21"/>
      <c r="L838" s="21"/>
      <c r="M838" s="21"/>
    </row>
    <row r="839" spans="4:13" ht="15.75" customHeight="1">
      <c r="D839" s="21"/>
      <c r="E839" s="21"/>
      <c r="F839" s="21"/>
      <c r="I839" s="21"/>
      <c r="K839" s="21"/>
      <c r="L839" s="21"/>
      <c r="M839" s="21"/>
    </row>
    <row r="840" spans="4:13" ht="15.75" customHeight="1">
      <c r="D840" s="21"/>
      <c r="E840" s="21"/>
      <c r="F840" s="21"/>
      <c r="I840" s="21"/>
      <c r="K840" s="21"/>
      <c r="L840" s="21"/>
      <c r="M840" s="21"/>
    </row>
    <row r="841" spans="4:13" ht="15.75" customHeight="1">
      <c r="D841" s="21"/>
      <c r="E841" s="21"/>
      <c r="F841" s="21"/>
      <c r="I841" s="21"/>
      <c r="K841" s="21"/>
      <c r="L841" s="21"/>
      <c r="M841" s="21"/>
    </row>
    <row r="842" spans="4:13" ht="15.75" customHeight="1">
      <c r="D842" s="21"/>
      <c r="E842" s="21"/>
      <c r="F842" s="21"/>
      <c r="I842" s="21"/>
      <c r="K842" s="21"/>
      <c r="L842" s="21"/>
      <c r="M842" s="21"/>
    </row>
    <row r="843" spans="4:13" ht="15.75" customHeight="1">
      <c r="D843" s="21"/>
      <c r="E843" s="21"/>
      <c r="F843" s="21"/>
      <c r="I843" s="21"/>
      <c r="K843" s="21"/>
      <c r="L843" s="21"/>
      <c r="M843" s="21"/>
    </row>
    <row r="844" spans="4:13" ht="15.75" customHeight="1">
      <c r="D844" s="21"/>
      <c r="E844" s="21"/>
      <c r="F844" s="21"/>
      <c r="I844" s="21"/>
      <c r="K844" s="21"/>
      <c r="L844" s="21"/>
      <c r="M844" s="21"/>
    </row>
    <row r="845" spans="4:13" ht="15.75" customHeight="1">
      <c r="D845" s="21"/>
      <c r="E845" s="21"/>
      <c r="F845" s="21"/>
      <c r="I845" s="21"/>
      <c r="K845" s="21"/>
      <c r="L845" s="21"/>
      <c r="M845" s="21"/>
    </row>
    <row r="846" spans="4:13" ht="15.75" customHeight="1">
      <c r="D846" s="21"/>
      <c r="E846" s="21"/>
      <c r="F846" s="21"/>
      <c r="I846" s="21"/>
      <c r="K846" s="21"/>
      <c r="L846" s="21"/>
      <c r="M846" s="21"/>
    </row>
    <row r="847" spans="4:13" ht="15.75" customHeight="1">
      <c r="D847" s="21"/>
      <c r="E847" s="21"/>
      <c r="F847" s="21"/>
      <c r="I847" s="21"/>
      <c r="K847" s="21"/>
      <c r="L847" s="21"/>
      <c r="M847" s="21"/>
    </row>
    <row r="848" spans="4:13" ht="15.75" customHeight="1">
      <c r="D848" s="21"/>
      <c r="E848" s="21"/>
      <c r="F848" s="21"/>
      <c r="I848" s="21"/>
      <c r="K848" s="21"/>
      <c r="L848" s="21"/>
      <c r="M848" s="21"/>
    </row>
    <row r="849" spans="4:13" ht="15.75" customHeight="1">
      <c r="D849" s="21"/>
      <c r="E849" s="21"/>
      <c r="F849" s="21"/>
      <c r="I849" s="21"/>
      <c r="K849" s="21"/>
      <c r="L849" s="21"/>
      <c r="M849" s="21"/>
    </row>
    <row r="850" spans="4:13" ht="15.75" customHeight="1">
      <c r="D850" s="21"/>
      <c r="E850" s="21"/>
      <c r="F850" s="21"/>
      <c r="I850" s="21"/>
      <c r="K850" s="21"/>
      <c r="L850" s="21"/>
      <c r="M850" s="21"/>
    </row>
    <row r="851" spans="4:13" ht="15.75" customHeight="1">
      <c r="D851" s="21"/>
      <c r="E851" s="21"/>
      <c r="F851" s="21"/>
      <c r="I851" s="21"/>
      <c r="K851" s="21"/>
      <c r="L851" s="21"/>
      <c r="M851" s="21"/>
    </row>
    <row r="852" spans="4:13" ht="15.75" customHeight="1">
      <c r="D852" s="21"/>
      <c r="E852" s="21"/>
      <c r="F852" s="21"/>
      <c r="I852" s="21"/>
      <c r="K852" s="21"/>
      <c r="L852" s="21"/>
      <c r="M852" s="21"/>
    </row>
    <row r="853" spans="4:13" ht="15.75" customHeight="1">
      <c r="D853" s="21"/>
      <c r="E853" s="21"/>
      <c r="F853" s="21"/>
      <c r="I853" s="21"/>
      <c r="K853" s="21"/>
      <c r="L853" s="21"/>
      <c r="M853" s="21"/>
    </row>
    <row r="854" spans="4:13" ht="15.75" customHeight="1">
      <c r="D854" s="21"/>
      <c r="E854" s="21"/>
      <c r="F854" s="21"/>
      <c r="I854" s="21"/>
      <c r="K854" s="21"/>
      <c r="L854" s="21"/>
      <c r="M854" s="21"/>
    </row>
    <row r="855" spans="4:13" ht="15.75" customHeight="1">
      <c r="D855" s="21"/>
      <c r="E855" s="21"/>
      <c r="F855" s="21"/>
      <c r="I855" s="21"/>
      <c r="K855" s="21"/>
      <c r="L855" s="21"/>
      <c r="M855" s="21"/>
    </row>
    <row r="856" spans="4:13" ht="15.75" customHeight="1">
      <c r="D856" s="21"/>
      <c r="E856" s="21"/>
      <c r="F856" s="21"/>
      <c r="I856" s="21"/>
      <c r="K856" s="21"/>
      <c r="L856" s="21"/>
      <c r="M856" s="21"/>
    </row>
    <row r="857" spans="4:13" ht="15.75" customHeight="1">
      <c r="D857" s="21"/>
      <c r="E857" s="21"/>
      <c r="F857" s="21"/>
      <c r="I857" s="21"/>
      <c r="K857" s="21"/>
      <c r="L857" s="21"/>
      <c r="M857" s="21"/>
    </row>
    <row r="858" spans="4:13" ht="15.75" customHeight="1">
      <c r="D858" s="21"/>
      <c r="E858" s="21"/>
      <c r="F858" s="21"/>
      <c r="I858" s="21"/>
      <c r="K858" s="21"/>
      <c r="L858" s="21"/>
      <c r="M858" s="21"/>
    </row>
    <row r="859" spans="4:13" ht="15.75" customHeight="1">
      <c r="D859" s="21"/>
      <c r="E859" s="21"/>
      <c r="F859" s="21"/>
      <c r="I859" s="21"/>
      <c r="K859" s="21"/>
      <c r="L859" s="21"/>
      <c r="M859" s="21"/>
    </row>
    <row r="860" spans="4:13" ht="15.75" customHeight="1">
      <c r="D860" s="21"/>
      <c r="E860" s="21"/>
      <c r="F860" s="21"/>
      <c r="I860" s="21"/>
      <c r="K860" s="21"/>
      <c r="L860" s="21"/>
      <c r="M860" s="21"/>
    </row>
    <row r="861" spans="4:13" ht="15.75" customHeight="1">
      <c r="D861" s="21"/>
      <c r="E861" s="21"/>
      <c r="F861" s="21"/>
      <c r="I861" s="21"/>
      <c r="K861" s="21"/>
      <c r="L861" s="21"/>
      <c r="M861" s="21"/>
    </row>
    <row r="862" spans="4:13" ht="15.75" customHeight="1">
      <c r="D862" s="21"/>
      <c r="E862" s="21"/>
      <c r="F862" s="21"/>
      <c r="I862" s="21"/>
      <c r="K862" s="21"/>
      <c r="L862" s="21"/>
      <c r="M862" s="21"/>
    </row>
    <row r="863" spans="4:13" ht="15.75" customHeight="1">
      <c r="D863" s="21"/>
      <c r="E863" s="21"/>
      <c r="F863" s="21"/>
      <c r="I863" s="21"/>
      <c r="K863" s="21"/>
      <c r="L863" s="21"/>
      <c r="M863" s="21"/>
    </row>
    <row r="864" spans="4:13" ht="15.75" customHeight="1">
      <c r="D864" s="21"/>
      <c r="E864" s="21"/>
      <c r="F864" s="21"/>
      <c r="I864" s="21"/>
      <c r="K864" s="21"/>
      <c r="L864" s="21"/>
      <c r="M864" s="21"/>
    </row>
    <row r="865" spans="4:13" ht="15.75" customHeight="1">
      <c r="D865" s="21"/>
      <c r="E865" s="21"/>
      <c r="F865" s="21"/>
      <c r="I865" s="21"/>
      <c r="K865" s="21"/>
      <c r="L865" s="21"/>
      <c r="M865" s="21"/>
    </row>
    <row r="866" spans="4:13" ht="15.75" customHeight="1">
      <c r="D866" s="21"/>
      <c r="E866" s="21"/>
      <c r="F866" s="21"/>
      <c r="I866" s="21"/>
      <c r="K866" s="21"/>
      <c r="L866" s="21"/>
      <c r="M866" s="21"/>
    </row>
    <row r="867" spans="4:13" ht="15.75" customHeight="1">
      <c r="D867" s="21"/>
      <c r="E867" s="21"/>
      <c r="F867" s="21"/>
      <c r="I867" s="21"/>
      <c r="K867" s="21"/>
      <c r="L867" s="21"/>
      <c r="M867" s="21"/>
    </row>
    <row r="868" spans="4:13" ht="15.75" customHeight="1">
      <c r="D868" s="21"/>
      <c r="E868" s="21"/>
      <c r="F868" s="21"/>
      <c r="I868" s="21"/>
      <c r="K868" s="21"/>
      <c r="L868" s="21"/>
      <c r="M868" s="21"/>
    </row>
    <row r="869" spans="4:13" ht="15.75" customHeight="1">
      <c r="D869" s="21"/>
      <c r="E869" s="21"/>
      <c r="F869" s="21"/>
      <c r="I869" s="21"/>
      <c r="K869" s="21"/>
      <c r="L869" s="21"/>
      <c r="M869" s="21"/>
    </row>
    <row r="870" spans="4:13" ht="15.75" customHeight="1">
      <c r="D870" s="21"/>
      <c r="E870" s="21"/>
      <c r="F870" s="21"/>
      <c r="I870" s="21"/>
      <c r="K870" s="21"/>
      <c r="L870" s="21"/>
      <c r="M870" s="21"/>
    </row>
    <row r="871" spans="4:13" ht="15.75" customHeight="1">
      <c r="D871" s="21"/>
      <c r="E871" s="21"/>
      <c r="F871" s="21"/>
      <c r="I871" s="21"/>
      <c r="K871" s="21"/>
      <c r="L871" s="21"/>
      <c r="M871" s="21"/>
    </row>
    <row r="872" spans="4:13" ht="15.75" customHeight="1">
      <c r="D872" s="21"/>
      <c r="E872" s="21"/>
      <c r="F872" s="21"/>
      <c r="I872" s="21"/>
      <c r="K872" s="21"/>
      <c r="L872" s="21"/>
      <c r="M872" s="21"/>
    </row>
    <row r="873" spans="4:13" ht="15.75" customHeight="1">
      <c r="D873" s="21"/>
      <c r="E873" s="21"/>
      <c r="F873" s="21"/>
      <c r="I873" s="21"/>
      <c r="K873" s="21"/>
      <c r="L873" s="21"/>
      <c r="M873" s="21"/>
    </row>
    <row r="874" spans="4:13" ht="15.75" customHeight="1">
      <c r="D874" s="21"/>
      <c r="E874" s="21"/>
      <c r="F874" s="21"/>
      <c r="I874" s="21"/>
      <c r="K874" s="21"/>
      <c r="L874" s="21"/>
      <c r="M874" s="21"/>
    </row>
    <row r="875" spans="4:13" ht="15.75" customHeight="1">
      <c r="D875" s="21"/>
      <c r="E875" s="21"/>
      <c r="F875" s="21"/>
      <c r="I875" s="21"/>
      <c r="K875" s="21"/>
      <c r="L875" s="21"/>
      <c r="M875" s="21"/>
    </row>
    <row r="876" spans="4:13" ht="15.75" customHeight="1">
      <c r="D876" s="21"/>
      <c r="E876" s="21"/>
      <c r="F876" s="21"/>
      <c r="I876" s="21"/>
      <c r="K876" s="21"/>
      <c r="L876" s="21"/>
      <c r="M876" s="21"/>
    </row>
    <row r="877" spans="4:13" ht="15.75" customHeight="1">
      <c r="D877" s="21"/>
      <c r="E877" s="21"/>
      <c r="F877" s="21"/>
      <c r="I877" s="21"/>
      <c r="K877" s="21"/>
      <c r="L877" s="21"/>
      <c r="M877" s="21"/>
    </row>
    <row r="878" spans="4:13" ht="15.75" customHeight="1">
      <c r="D878" s="21"/>
      <c r="E878" s="21"/>
      <c r="F878" s="21"/>
      <c r="I878" s="21"/>
      <c r="K878" s="21"/>
      <c r="L878" s="21"/>
      <c r="M878" s="21"/>
    </row>
    <row r="879" spans="4:13" ht="15.75" customHeight="1">
      <c r="D879" s="21"/>
      <c r="E879" s="21"/>
      <c r="F879" s="21"/>
      <c r="I879" s="21"/>
      <c r="K879" s="21"/>
      <c r="L879" s="21"/>
      <c r="M879" s="21"/>
    </row>
    <row r="880" spans="4:13" ht="15.75" customHeight="1">
      <c r="D880" s="21"/>
      <c r="E880" s="21"/>
      <c r="F880" s="21"/>
      <c r="I880" s="21"/>
      <c r="K880" s="21"/>
      <c r="L880" s="21"/>
      <c r="M880" s="21"/>
    </row>
    <row r="881" spans="4:13" ht="15.75" customHeight="1">
      <c r="D881" s="21"/>
      <c r="E881" s="21"/>
      <c r="F881" s="21"/>
      <c r="I881" s="21"/>
      <c r="K881" s="21"/>
      <c r="L881" s="21"/>
      <c r="M881" s="21"/>
    </row>
    <row r="882" spans="4:13" ht="15.75" customHeight="1">
      <c r="D882" s="21"/>
      <c r="E882" s="21"/>
      <c r="F882" s="21"/>
      <c r="I882" s="21"/>
      <c r="K882" s="21"/>
      <c r="L882" s="21"/>
      <c r="M882" s="21"/>
    </row>
    <row r="883" spans="4:13" ht="15.75" customHeight="1">
      <c r="D883" s="21"/>
      <c r="E883" s="21"/>
      <c r="F883" s="21"/>
      <c r="I883" s="21"/>
      <c r="K883" s="21"/>
      <c r="L883" s="21"/>
      <c r="M883" s="21"/>
    </row>
    <row r="884" spans="4:13" ht="15.75" customHeight="1">
      <c r="D884" s="21"/>
      <c r="E884" s="21"/>
      <c r="F884" s="21"/>
      <c r="I884" s="21"/>
      <c r="K884" s="21"/>
      <c r="L884" s="21"/>
      <c r="M884" s="21"/>
    </row>
    <row r="885" spans="4:13" ht="15.75" customHeight="1">
      <c r="D885" s="21"/>
      <c r="E885" s="21"/>
      <c r="F885" s="21"/>
      <c r="I885" s="21"/>
      <c r="K885" s="21"/>
      <c r="L885" s="21"/>
      <c r="M885" s="21"/>
    </row>
    <row r="886" spans="4:13" ht="15.75" customHeight="1">
      <c r="D886" s="21"/>
      <c r="E886" s="21"/>
      <c r="F886" s="21"/>
      <c r="I886" s="21"/>
      <c r="K886" s="21"/>
      <c r="L886" s="21"/>
      <c r="M886" s="21"/>
    </row>
    <row r="887" spans="4:13" ht="15.75" customHeight="1">
      <c r="D887" s="21"/>
      <c r="E887" s="21"/>
      <c r="F887" s="21"/>
      <c r="I887" s="21"/>
      <c r="K887" s="21"/>
      <c r="L887" s="21"/>
      <c r="M887" s="21"/>
    </row>
    <row r="888" spans="4:13" ht="15.75" customHeight="1">
      <c r="D888" s="21"/>
      <c r="E888" s="21"/>
      <c r="F888" s="21"/>
      <c r="I888" s="21"/>
      <c r="K888" s="21"/>
      <c r="L888" s="21"/>
      <c r="M888" s="21"/>
    </row>
    <row r="889" spans="4:13" ht="15.75" customHeight="1">
      <c r="D889" s="21"/>
      <c r="E889" s="21"/>
      <c r="F889" s="21"/>
      <c r="I889" s="21"/>
      <c r="K889" s="21"/>
      <c r="L889" s="21"/>
      <c r="M889" s="21"/>
    </row>
    <row r="890" spans="4:13" ht="15.75" customHeight="1">
      <c r="D890" s="21"/>
      <c r="E890" s="21"/>
      <c r="F890" s="21"/>
      <c r="I890" s="21"/>
      <c r="K890" s="21"/>
      <c r="L890" s="21"/>
      <c r="M890" s="21"/>
    </row>
    <row r="891" spans="4:13" ht="15.75" customHeight="1">
      <c r="D891" s="21"/>
      <c r="E891" s="21"/>
      <c r="F891" s="21"/>
      <c r="I891" s="21"/>
      <c r="K891" s="21"/>
      <c r="L891" s="21"/>
      <c r="M891" s="21"/>
    </row>
    <row r="892" spans="4:13" ht="15.75" customHeight="1">
      <c r="D892" s="21"/>
      <c r="E892" s="21"/>
      <c r="F892" s="21"/>
      <c r="I892" s="21"/>
      <c r="K892" s="21"/>
      <c r="L892" s="21"/>
      <c r="M892" s="21"/>
    </row>
    <row r="893" spans="4:13" ht="15.75" customHeight="1">
      <c r="D893" s="21"/>
      <c r="E893" s="21"/>
      <c r="F893" s="21"/>
      <c r="I893" s="21"/>
      <c r="K893" s="21"/>
      <c r="L893" s="21"/>
      <c r="M893" s="21"/>
    </row>
    <row r="894" spans="4:13" ht="15.75" customHeight="1">
      <c r="D894" s="21"/>
      <c r="E894" s="21"/>
      <c r="F894" s="21"/>
      <c r="I894" s="21"/>
      <c r="K894" s="21"/>
      <c r="L894" s="21"/>
      <c r="M894" s="21"/>
    </row>
    <row r="895" spans="4:13" ht="15.75" customHeight="1">
      <c r="D895" s="21"/>
      <c r="E895" s="21"/>
      <c r="F895" s="21"/>
      <c r="I895" s="21"/>
      <c r="K895" s="21"/>
      <c r="L895" s="21"/>
      <c r="M895" s="21"/>
    </row>
    <row r="896" spans="4:13" ht="15.75" customHeight="1">
      <c r="D896" s="21"/>
      <c r="E896" s="21"/>
      <c r="F896" s="21"/>
      <c r="I896" s="21"/>
      <c r="K896" s="21"/>
      <c r="L896" s="21"/>
      <c r="M896" s="21"/>
    </row>
    <row r="897" spans="4:13" ht="15.75" customHeight="1">
      <c r="D897" s="21"/>
      <c r="E897" s="21"/>
      <c r="F897" s="21"/>
      <c r="I897" s="21"/>
      <c r="K897" s="21"/>
      <c r="L897" s="21"/>
      <c r="M897" s="21"/>
    </row>
    <row r="898" spans="4:13" ht="15.75" customHeight="1">
      <c r="D898" s="21"/>
      <c r="E898" s="21"/>
      <c r="F898" s="21"/>
      <c r="I898" s="21"/>
      <c r="K898" s="21"/>
      <c r="L898" s="21"/>
      <c r="M898" s="21"/>
    </row>
    <row r="899" spans="4:13" ht="15.75" customHeight="1">
      <c r="D899" s="21"/>
      <c r="E899" s="21"/>
      <c r="F899" s="21"/>
      <c r="I899" s="21"/>
      <c r="K899" s="21"/>
      <c r="L899" s="21"/>
      <c r="M899" s="21"/>
    </row>
    <row r="900" spans="4:13" ht="15.75" customHeight="1">
      <c r="D900" s="21"/>
      <c r="E900" s="21"/>
      <c r="F900" s="21"/>
      <c r="I900" s="21"/>
      <c r="K900" s="21"/>
      <c r="L900" s="21"/>
      <c r="M900" s="21"/>
    </row>
    <row r="901" spans="4:13" ht="15.75" customHeight="1">
      <c r="D901" s="21"/>
      <c r="E901" s="21"/>
      <c r="F901" s="21"/>
      <c r="I901" s="21"/>
      <c r="K901" s="21"/>
      <c r="L901" s="21"/>
      <c r="M901" s="21"/>
    </row>
    <row r="902" spans="4:13" ht="15.75" customHeight="1">
      <c r="D902" s="21"/>
      <c r="E902" s="21"/>
      <c r="F902" s="21"/>
      <c r="I902" s="21"/>
      <c r="K902" s="21"/>
      <c r="L902" s="21"/>
      <c r="M902" s="21"/>
    </row>
    <row r="903" spans="4:13" ht="15.75" customHeight="1">
      <c r="D903" s="21"/>
      <c r="E903" s="21"/>
      <c r="F903" s="21"/>
      <c r="I903" s="21"/>
      <c r="K903" s="21"/>
      <c r="L903" s="21"/>
      <c r="M903" s="21"/>
    </row>
    <row r="904" spans="4:13" ht="15.75" customHeight="1">
      <c r="D904" s="21"/>
      <c r="E904" s="21"/>
      <c r="F904" s="21"/>
      <c r="I904" s="21"/>
      <c r="K904" s="21"/>
      <c r="L904" s="21"/>
      <c r="M904" s="21"/>
    </row>
    <row r="905" spans="4:13" ht="15.75" customHeight="1">
      <c r="D905" s="21"/>
      <c r="E905" s="21"/>
      <c r="F905" s="21"/>
      <c r="I905" s="21"/>
      <c r="K905" s="21"/>
      <c r="L905" s="21"/>
      <c r="M905" s="21"/>
    </row>
    <row r="906" spans="4:13" ht="15.75" customHeight="1">
      <c r="D906" s="21"/>
      <c r="E906" s="21"/>
      <c r="F906" s="21"/>
      <c r="I906" s="21"/>
      <c r="K906" s="21"/>
      <c r="L906" s="21"/>
      <c r="M906" s="21"/>
    </row>
    <row r="907" spans="4:13" ht="15.75" customHeight="1">
      <c r="D907" s="21"/>
      <c r="E907" s="21"/>
      <c r="F907" s="21"/>
      <c r="I907" s="21"/>
      <c r="K907" s="21"/>
      <c r="L907" s="21"/>
      <c r="M907" s="21"/>
    </row>
    <row r="908" spans="4:13" ht="15.75" customHeight="1">
      <c r="D908" s="21"/>
      <c r="E908" s="21"/>
      <c r="F908" s="21"/>
      <c r="I908" s="21"/>
      <c r="K908" s="21"/>
      <c r="L908" s="21"/>
      <c r="M908" s="21"/>
    </row>
    <row r="909" spans="4:13" ht="15.75" customHeight="1">
      <c r="D909" s="21"/>
      <c r="E909" s="21"/>
      <c r="F909" s="21"/>
      <c r="I909" s="21"/>
      <c r="K909" s="21"/>
      <c r="L909" s="21"/>
      <c r="M909" s="21"/>
    </row>
    <row r="910" spans="4:13" ht="15.75" customHeight="1">
      <c r="D910" s="21"/>
      <c r="E910" s="21"/>
      <c r="F910" s="21"/>
      <c r="I910" s="21"/>
      <c r="K910" s="21"/>
      <c r="L910" s="21"/>
      <c r="M910" s="21"/>
    </row>
    <row r="911" spans="4:13" ht="15.75" customHeight="1">
      <c r="D911" s="21"/>
      <c r="E911" s="21"/>
      <c r="F911" s="21"/>
      <c r="I911" s="21"/>
      <c r="K911" s="21"/>
      <c r="L911" s="21"/>
      <c r="M911" s="21"/>
    </row>
    <row r="912" spans="4:13" ht="15.75" customHeight="1">
      <c r="D912" s="21"/>
      <c r="E912" s="21"/>
      <c r="F912" s="21"/>
      <c r="I912" s="21"/>
      <c r="K912" s="21"/>
      <c r="L912" s="21"/>
      <c r="M912" s="21"/>
    </row>
    <row r="913" spans="4:13" ht="15.75" customHeight="1">
      <c r="D913" s="21"/>
      <c r="E913" s="21"/>
      <c r="F913" s="21"/>
      <c r="I913" s="21"/>
      <c r="K913" s="21"/>
      <c r="L913" s="21"/>
      <c r="M913" s="21"/>
    </row>
    <row r="914" spans="4:13" ht="15.75" customHeight="1">
      <c r="D914" s="21"/>
      <c r="E914" s="21"/>
      <c r="F914" s="21"/>
      <c r="I914" s="21"/>
      <c r="K914" s="21"/>
      <c r="L914" s="21"/>
      <c r="M914" s="21"/>
    </row>
    <row r="915" spans="4:13" ht="15.75" customHeight="1">
      <c r="D915" s="21"/>
      <c r="E915" s="21"/>
      <c r="F915" s="21"/>
      <c r="I915" s="21"/>
      <c r="K915" s="21"/>
      <c r="L915" s="21"/>
      <c r="M915" s="21"/>
    </row>
    <row r="916" spans="4:13" ht="15.75" customHeight="1">
      <c r="D916" s="21"/>
      <c r="E916" s="21"/>
      <c r="F916" s="21"/>
      <c r="I916" s="21"/>
      <c r="K916" s="21"/>
      <c r="L916" s="21"/>
      <c r="M916" s="21"/>
    </row>
    <row r="917" spans="4:13" ht="15.75" customHeight="1">
      <c r="D917" s="21"/>
      <c r="E917" s="21"/>
      <c r="F917" s="21"/>
      <c r="I917" s="21"/>
      <c r="K917" s="21"/>
      <c r="L917" s="21"/>
      <c r="M917" s="21"/>
    </row>
    <row r="918" spans="4:13" ht="15.75" customHeight="1">
      <c r="D918" s="21"/>
      <c r="E918" s="21"/>
      <c r="F918" s="21"/>
      <c r="I918" s="21"/>
      <c r="K918" s="21"/>
      <c r="L918" s="21"/>
      <c r="M918" s="21"/>
    </row>
    <row r="919" spans="4:13" ht="15.75" customHeight="1">
      <c r="D919" s="21"/>
      <c r="E919" s="21"/>
      <c r="F919" s="21"/>
      <c r="I919" s="21"/>
      <c r="K919" s="21"/>
      <c r="L919" s="21"/>
      <c r="M919" s="21"/>
    </row>
    <row r="920" spans="4:13" ht="15.75" customHeight="1">
      <c r="D920" s="21"/>
      <c r="E920" s="21"/>
      <c r="F920" s="21"/>
      <c r="I920" s="21"/>
      <c r="K920" s="21"/>
      <c r="L920" s="21"/>
      <c r="M920" s="21"/>
    </row>
    <row r="921" spans="4:13" ht="15.75" customHeight="1">
      <c r="D921" s="21"/>
      <c r="E921" s="21"/>
      <c r="F921" s="21"/>
      <c r="I921" s="21"/>
      <c r="K921" s="21"/>
      <c r="L921" s="21"/>
      <c r="M921" s="21"/>
    </row>
    <row r="922" spans="4:13" ht="15.75" customHeight="1">
      <c r="D922" s="21"/>
      <c r="E922" s="21"/>
      <c r="F922" s="21"/>
      <c r="I922" s="21"/>
      <c r="K922" s="21"/>
      <c r="L922" s="21"/>
      <c r="M922" s="21"/>
    </row>
    <row r="923" spans="4:13" ht="15.75" customHeight="1">
      <c r="D923" s="21"/>
      <c r="E923" s="21"/>
      <c r="F923" s="21"/>
      <c r="I923" s="21"/>
      <c r="K923" s="21"/>
      <c r="L923" s="21"/>
      <c r="M923" s="21"/>
    </row>
    <row r="924" spans="4:13" ht="15.75" customHeight="1">
      <c r="D924" s="21"/>
      <c r="E924" s="21"/>
      <c r="F924" s="21"/>
      <c r="I924" s="21"/>
      <c r="K924" s="21"/>
      <c r="L924" s="21"/>
      <c r="M924" s="21"/>
    </row>
    <row r="925" spans="4:13" ht="15.75" customHeight="1">
      <c r="D925" s="21"/>
      <c r="E925" s="21"/>
      <c r="F925" s="21"/>
      <c r="I925" s="21"/>
      <c r="K925" s="21"/>
      <c r="L925" s="21"/>
      <c r="M925" s="21"/>
    </row>
    <row r="926" spans="4:13" ht="15.75" customHeight="1">
      <c r="D926" s="21"/>
      <c r="E926" s="21"/>
      <c r="F926" s="21"/>
      <c r="I926" s="21"/>
      <c r="K926" s="21"/>
      <c r="L926" s="21"/>
      <c r="M926" s="21"/>
    </row>
    <row r="927" spans="4:13" ht="15.75" customHeight="1">
      <c r="D927" s="21"/>
      <c r="E927" s="21"/>
      <c r="F927" s="21"/>
      <c r="I927" s="21"/>
      <c r="K927" s="21"/>
      <c r="L927" s="21"/>
      <c r="M927" s="21"/>
    </row>
    <row r="928" spans="4:13" ht="15.75" customHeight="1">
      <c r="D928" s="21"/>
      <c r="E928" s="21"/>
      <c r="F928" s="21"/>
      <c r="I928" s="21"/>
      <c r="K928" s="21"/>
      <c r="L928" s="21"/>
      <c r="M928" s="21"/>
    </row>
    <row r="929" spans="4:13" ht="15.75" customHeight="1">
      <c r="D929" s="21"/>
      <c r="E929" s="21"/>
      <c r="F929" s="21"/>
      <c r="I929" s="21"/>
      <c r="K929" s="21"/>
      <c r="L929" s="21"/>
      <c r="M929" s="21"/>
    </row>
    <row r="930" spans="4:13" ht="15.75" customHeight="1">
      <c r="D930" s="21"/>
      <c r="E930" s="21"/>
      <c r="F930" s="21"/>
      <c r="I930" s="21"/>
      <c r="K930" s="21"/>
      <c r="L930" s="21"/>
      <c r="M930" s="21"/>
    </row>
    <row r="931" spans="4:13" ht="15.75" customHeight="1">
      <c r="D931" s="21"/>
      <c r="E931" s="21"/>
      <c r="F931" s="21"/>
      <c r="I931" s="21"/>
      <c r="K931" s="21"/>
      <c r="L931" s="21"/>
      <c r="M931" s="21"/>
    </row>
    <row r="932" spans="4:13" ht="15.75" customHeight="1">
      <c r="D932" s="21"/>
      <c r="E932" s="21"/>
      <c r="F932" s="21"/>
      <c r="I932" s="21"/>
      <c r="K932" s="21"/>
      <c r="L932" s="21"/>
      <c r="M932" s="21"/>
    </row>
    <row r="933" spans="4:13" ht="15.75" customHeight="1">
      <c r="D933" s="21"/>
      <c r="E933" s="21"/>
      <c r="F933" s="21"/>
      <c r="I933" s="21"/>
      <c r="K933" s="21"/>
      <c r="L933" s="21"/>
      <c r="M933" s="21"/>
    </row>
    <row r="934" spans="4:13" ht="15.75" customHeight="1">
      <c r="D934" s="21"/>
      <c r="E934" s="21"/>
      <c r="F934" s="21"/>
      <c r="I934" s="21"/>
      <c r="K934" s="21"/>
      <c r="L934" s="21"/>
      <c r="M934" s="21"/>
    </row>
    <row r="935" spans="4:13" ht="15.75" customHeight="1">
      <c r="D935" s="21"/>
      <c r="E935" s="21"/>
      <c r="F935" s="21"/>
      <c r="I935" s="21"/>
      <c r="K935" s="21"/>
      <c r="L935" s="21"/>
      <c r="M935" s="21"/>
    </row>
    <row r="936" spans="4:13" ht="15.75" customHeight="1">
      <c r="D936" s="21"/>
      <c r="E936" s="21"/>
      <c r="F936" s="21"/>
      <c r="I936" s="21"/>
      <c r="K936" s="21"/>
      <c r="L936" s="21"/>
      <c r="M936" s="21"/>
    </row>
    <row r="937" spans="4:13" ht="15.75" customHeight="1">
      <c r="D937" s="21"/>
      <c r="E937" s="21"/>
      <c r="F937" s="21"/>
      <c r="I937" s="21"/>
      <c r="K937" s="21"/>
      <c r="L937" s="21"/>
      <c r="M937" s="21"/>
    </row>
    <row r="938" spans="4:13" ht="15.75" customHeight="1">
      <c r="D938" s="21"/>
      <c r="E938" s="21"/>
      <c r="F938" s="21"/>
      <c r="I938" s="21"/>
      <c r="K938" s="21"/>
      <c r="L938" s="21"/>
      <c r="M938" s="21"/>
    </row>
    <row r="939" spans="4:13" ht="15.75" customHeight="1">
      <c r="D939" s="21"/>
      <c r="E939" s="21"/>
      <c r="F939" s="21"/>
      <c r="I939" s="21"/>
      <c r="K939" s="21"/>
      <c r="L939" s="21"/>
      <c r="M939" s="21"/>
    </row>
    <row r="940" spans="4:13" ht="15.75" customHeight="1">
      <c r="D940" s="21"/>
      <c r="E940" s="21"/>
      <c r="F940" s="21"/>
      <c r="I940" s="21"/>
      <c r="K940" s="21"/>
      <c r="L940" s="21"/>
      <c r="M940" s="21"/>
    </row>
    <row r="941" spans="4:13" ht="15.75" customHeight="1">
      <c r="D941" s="21"/>
      <c r="E941" s="21"/>
      <c r="F941" s="21"/>
      <c r="I941" s="21"/>
      <c r="K941" s="21"/>
      <c r="L941" s="21"/>
      <c r="M941" s="21"/>
    </row>
    <row r="942" spans="4:13" ht="15.75" customHeight="1">
      <c r="D942" s="21"/>
      <c r="E942" s="21"/>
      <c r="F942" s="21"/>
      <c r="I942" s="21"/>
      <c r="K942" s="21"/>
      <c r="L942" s="21"/>
      <c r="M942" s="21"/>
    </row>
    <row r="943" spans="4:13" ht="15.75" customHeight="1">
      <c r="D943" s="21"/>
      <c r="E943" s="21"/>
      <c r="F943" s="21"/>
      <c r="I943" s="21"/>
      <c r="K943" s="21"/>
      <c r="L943" s="21"/>
      <c r="M943" s="21"/>
    </row>
    <row r="944" spans="4:13" ht="15.75" customHeight="1">
      <c r="D944" s="21"/>
      <c r="E944" s="21"/>
      <c r="F944" s="21"/>
      <c r="I944" s="21"/>
      <c r="K944" s="21"/>
      <c r="L944" s="21"/>
      <c r="M944" s="21"/>
    </row>
    <row r="945" spans="4:13" ht="15.75" customHeight="1">
      <c r="D945" s="21"/>
      <c r="E945" s="21"/>
      <c r="F945" s="21"/>
      <c r="I945" s="21"/>
      <c r="K945" s="21"/>
      <c r="L945" s="21"/>
      <c r="M945" s="21"/>
    </row>
    <row r="946" spans="4:13" ht="15.75" customHeight="1">
      <c r="D946" s="21"/>
      <c r="E946" s="21"/>
      <c r="F946" s="21"/>
      <c r="I946" s="21"/>
      <c r="K946" s="21"/>
      <c r="L946" s="21"/>
      <c r="M946" s="21"/>
    </row>
    <row r="947" spans="4:13" ht="15.75" customHeight="1">
      <c r="D947" s="21"/>
      <c r="E947" s="21"/>
      <c r="F947" s="21"/>
      <c r="I947" s="21"/>
      <c r="K947" s="21"/>
      <c r="L947" s="21"/>
      <c r="M947" s="21"/>
    </row>
    <row r="948" spans="4:13" ht="15.75" customHeight="1">
      <c r="D948" s="21"/>
      <c r="E948" s="21"/>
      <c r="F948" s="21"/>
      <c r="I948" s="21"/>
      <c r="K948" s="21"/>
      <c r="L948" s="21"/>
      <c r="M948" s="21"/>
    </row>
    <row r="949" spans="4:13" ht="15.75" customHeight="1">
      <c r="D949" s="21"/>
      <c r="E949" s="21"/>
      <c r="F949" s="21"/>
      <c r="I949" s="21"/>
      <c r="K949" s="21"/>
      <c r="L949" s="21"/>
      <c r="M949" s="21"/>
    </row>
    <row r="950" spans="4:13" ht="15.75" customHeight="1">
      <c r="D950" s="21"/>
      <c r="E950" s="21"/>
      <c r="F950" s="21"/>
      <c r="I950" s="21"/>
      <c r="K950" s="21"/>
      <c r="L950" s="21"/>
      <c r="M950" s="21"/>
    </row>
    <row r="951" spans="4:13" ht="15.75" customHeight="1">
      <c r="D951" s="21"/>
      <c r="E951" s="21"/>
      <c r="F951" s="21"/>
      <c r="I951" s="21"/>
      <c r="K951" s="21"/>
      <c r="L951" s="21"/>
      <c r="M951" s="21"/>
    </row>
    <row r="952" spans="4:13" ht="15.75" customHeight="1">
      <c r="D952" s="21"/>
      <c r="E952" s="21"/>
      <c r="F952" s="21"/>
      <c r="I952" s="21"/>
      <c r="K952" s="21"/>
      <c r="L952" s="21"/>
      <c r="M952" s="21"/>
    </row>
    <row r="953" spans="4:13" ht="15.75" customHeight="1">
      <c r="D953" s="21"/>
      <c r="E953" s="21"/>
      <c r="F953" s="21"/>
      <c r="I953" s="21"/>
      <c r="K953" s="21"/>
      <c r="L953" s="21"/>
      <c r="M953" s="21"/>
    </row>
    <row r="954" spans="4:13" ht="15.75" customHeight="1">
      <c r="D954" s="21"/>
      <c r="E954" s="21"/>
      <c r="F954" s="21"/>
      <c r="I954" s="21"/>
      <c r="K954" s="21"/>
      <c r="L954" s="21"/>
      <c r="M954" s="21"/>
    </row>
    <row r="955" spans="4:13" ht="15.75" customHeight="1">
      <c r="D955" s="21"/>
      <c r="E955" s="21"/>
      <c r="F955" s="21"/>
      <c r="I955" s="21"/>
      <c r="K955" s="21"/>
      <c r="L955" s="21"/>
      <c r="M955" s="21"/>
    </row>
    <row r="956" spans="4:13" ht="15.75" customHeight="1">
      <c r="D956" s="21"/>
      <c r="E956" s="21"/>
      <c r="F956" s="21"/>
      <c r="I956" s="21"/>
      <c r="K956" s="21"/>
      <c r="L956" s="21"/>
      <c r="M956" s="21"/>
    </row>
    <row r="957" spans="4:13" ht="15.75" customHeight="1">
      <c r="D957" s="21"/>
      <c r="E957" s="21"/>
      <c r="F957" s="21"/>
      <c r="I957" s="21"/>
      <c r="K957" s="21"/>
      <c r="L957" s="21"/>
      <c r="M957" s="21"/>
    </row>
    <row r="958" spans="4:13" ht="15.75" customHeight="1">
      <c r="D958" s="21"/>
      <c r="E958" s="21"/>
      <c r="F958" s="21"/>
      <c r="I958" s="21"/>
      <c r="K958" s="21"/>
      <c r="L958" s="21"/>
      <c r="M958" s="21"/>
    </row>
    <row r="959" spans="4:13" ht="15.75" customHeight="1">
      <c r="D959" s="21"/>
      <c r="E959" s="21"/>
      <c r="F959" s="21"/>
      <c r="I959" s="21"/>
      <c r="K959" s="21"/>
      <c r="L959" s="21"/>
      <c r="M959" s="21"/>
    </row>
    <row r="960" spans="4:13" ht="15.75" customHeight="1">
      <c r="D960" s="21"/>
      <c r="E960" s="21"/>
      <c r="F960" s="21"/>
      <c r="I960" s="21"/>
      <c r="K960" s="21"/>
      <c r="L960" s="21"/>
      <c r="M960" s="21"/>
    </row>
    <row r="961" spans="4:13" ht="15.75" customHeight="1">
      <c r="D961" s="21"/>
      <c r="E961" s="21"/>
      <c r="F961" s="21"/>
      <c r="I961" s="21"/>
      <c r="K961" s="21"/>
      <c r="L961" s="21"/>
      <c r="M961" s="21"/>
    </row>
    <row r="962" spans="4:13" ht="15.75" customHeight="1">
      <c r="D962" s="21"/>
      <c r="E962" s="21"/>
      <c r="F962" s="21"/>
      <c r="I962" s="21"/>
      <c r="K962" s="21"/>
      <c r="L962" s="21"/>
      <c r="M962" s="21"/>
    </row>
    <row r="963" spans="4:13" ht="15.75" customHeight="1">
      <c r="D963" s="21"/>
      <c r="E963" s="21"/>
      <c r="F963" s="21"/>
      <c r="I963" s="21"/>
      <c r="K963" s="21"/>
      <c r="L963" s="21"/>
      <c r="M963" s="21"/>
    </row>
    <row r="964" spans="4:13" ht="15.75" customHeight="1">
      <c r="D964" s="21"/>
      <c r="E964" s="21"/>
      <c r="F964" s="21"/>
      <c r="I964" s="21"/>
      <c r="K964" s="21"/>
      <c r="L964" s="21"/>
      <c r="M964" s="21"/>
    </row>
    <row r="965" spans="4:13" ht="15.75" customHeight="1">
      <c r="D965" s="21"/>
      <c r="E965" s="21"/>
      <c r="F965" s="21"/>
      <c r="I965" s="21"/>
      <c r="K965" s="21"/>
      <c r="L965" s="21"/>
      <c r="M965" s="21"/>
    </row>
    <row r="966" spans="4:13" ht="15.75" customHeight="1">
      <c r="D966" s="21"/>
      <c r="E966" s="21"/>
      <c r="F966" s="21"/>
      <c r="I966" s="21"/>
      <c r="K966" s="21"/>
      <c r="L966" s="21"/>
      <c r="M966" s="21"/>
    </row>
    <row r="967" spans="4:13" ht="15.75" customHeight="1">
      <c r="D967" s="21"/>
      <c r="E967" s="21"/>
      <c r="F967" s="21"/>
      <c r="I967" s="21"/>
      <c r="K967" s="21"/>
      <c r="L967" s="21"/>
      <c r="M967" s="21"/>
    </row>
    <row r="968" spans="4:13" ht="15.75" customHeight="1">
      <c r="D968" s="21"/>
      <c r="E968" s="21"/>
      <c r="F968" s="21"/>
      <c r="I968" s="21"/>
      <c r="K968" s="21"/>
      <c r="L968" s="21"/>
      <c r="M968" s="21"/>
    </row>
    <row r="969" spans="4:13" ht="15.75" customHeight="1">
      <c r="D969" s="21"/>
      <c r="E969" s="21"/>
      <c r="F969" s="21"/>
      <c r="I969" s="21"/>
      <c r="K969" s="21"/>
      <c r="L969" s="21"/>
      <c r="M969" s="21"/>
    </row>
    <row r="970" spans="4:13" ht="15.75" customHeight="1">
      <c r="D970" s="21"/>
      <c r="E970" s="21"/>
      <c r="F970" s="21"/>
      <c r="I970" s="21"/>
      <c r="K970" s="21"/>
      <c r="L970" s="21"/>
      <c r="M970" s="21"/>
    </row>
    <row r="971" spans="4:13" ht="15.75" customHeight="1">
      <c r="D971" s="21"/>
      <c r="E971" s="21"/>
      <c r="F971" s="21"/>
      <c r="I971" s="21"/>
      <c r="K971" s="21"/>
      <c r="L971" s="21"/>
      <c r="M971" s="21"/>
    </row>
    <row r="972" spans="4:13" ht="15.75" customHeight="1">
      <c r="D972" s="21"/>
      <c r="E972" s="21"/>
      <c r="F972" s="21"/>
      <c r="I972" s="21"/>
      <c r="K972" s="21"/>
      <c r="L972" s="21"/>
      <c r="M972" s="21"/>
    </row>
    <row r="973" spans="4:13" ht="15.75" customHeight="1">
      <c r="D973" s="21"/>
      <c r="E973" s="21"/>
      <c r="F973" s="21"/>
      <c r="I973" s="21"/>
      <c r="K973" s="21"/>
      <c r="L973" s="21"/>
      <c r="M973" s="21"/>
    </row>
    <row r="974" spans="4:13" ht="15.75" customHeight="1">
      <c r="D974" s="21"/>
      <c r="E974" s="21"/>
      <c r="F974" s="21"/>
      <c r="I974" s="21"/>
      <c r="K974" s="21"/>
      <c r="L974" s="21"/>
      <c r="M974" s="21"/>
    </row>
    <row r="975" spans="4:13" ht="15.75" customHeight="1">
      <c r="D975" s="21"/>
      <c r="E975" s="21"/>
      <c r="F975" s="21"/>
      <c r="I975" s="21"/>
      <c r="K975" s="21"/>
      <c r="L975" s="21"/>
      <c r="M975" s="21"/>
    </row>
    <row r="976" spans="4:13" ht="15.75" customHeight="1">
      <c r="D976" s="21"/>
      <c r="E976" s="21"/>
      <c r="F976" s="21"/>
      <c r="I976" s="21"/>
      <c r="K976" s="21"/>
      <c r="L976" s="21"/>
      <c r="M976" s="21"/>
    </row>
    <row r="977" spans="4:13" ht="15.75" customHeight="1">
      <c r="D977" s="21"/>
      <c r="E977" s="21"/>
      <c r="F977" s="21"/>
      <c r="I977" s="21"/>
      <c r="K977" s="21"/>
      <c r="L977" s="21"/>
      <c r="M977" s="21"/>
    </row>
    <row r="978" spans="4:13" ht="15.75" customHeight="1">
      <c r="D978" s="21"/>
      <c r="E978" s="21"/>
      <c r="F978" s="21"/>
      <c r="I978" s="21"/>
      <c r="K978" s="21"/>
      <c r="L978" s="21"/>
      <c r="M978" s="21"/>
    </row>
    <row r="979" spans="4:13" ht="15.75" customHeight="1">
      <c r="D979" s="21"/>
      <c r="E979" s="21"/>
      <c r="F979" s="21"/>
      <c r="I979" s="21"/>
      <c r="K979" s="21"/>
      <c r="L979" s="21"/>
      <c r="M979" s="21"/>
    </row>
    <row r="980" spans="4:13" ht="15.75" customHeight="1">
      <c r="D980" s="21"/>
      <c r="E980" s="21"/>
      <c r="F980" s="21"/>
      <c r="I980" s="21"/>
      <c r="K980" s="21"/>
      <c r="L980" s="21"/>
      <c r="M980" s="21"/>
    </row>
    <row r="981" spans="4:13" ht="15.75" customHeight="1">
      <c r="D981" s="21"/>
      <c r="E981" s="21"/>
      <c r="F981" s="21"/>
      <c r="I981" s="21"/>
      <c r="K981" s="21"/>
      <c r="L981" s="21"/>
      <c r="M981" s="21"/>
    </row>
    <row r="982" spans="4:13" ht="15.75" customHeight="1">
      <c r="D982" s="21"/>
      <c r="E982" s="21"/>
      <c r="F982" s="21"/>
      <c r="I982" s="21"/>
      <c r="K982" s="21"/>
      <c r="L982" s="21"/>
      <c r="M982" s="21"/>
    </row>
    <row r="983" spans="4:13" ht="15.75" customHeight="1">
      <c r="D983" s="21"/>
      <c r="E983" s="21"/>
      <c r="F983" s="21"/>
      <c r="I983" s="21"/>
      <c r="K983" s="21"/>
      <c r="L983" s="21"/>
      <c r="M983" s="21"/>
    </row>
    <row r="984" spans="4:13" ht="15.75" customHeight="1">
      <c r="D984" s="21"/>
      <c r="E984" s="21"/>
      <c r="F984" s="21"/>
      <c r="I984" s="21"/>
      <c r="K984" s="21"/>
      <c r="L984" s="21"/>
      <c r="M984" s="21"/>
    </row>
    <row r="985" spans="4:13" ht="15.75" customHeight="1">
      <c r="D985" s="21"/>
      <c r="E985" s="21"/>
      <c r="F985" s="21"/>
      <c r="I985" s="21"/>
      <c r="K985" s="21"/>
      <c r="L985" s="21"/>
      <c r="M985" s="21"/>
    </row>
    <row r="986" spans="4:13" ht="15.75" customHeight="1">
      <c r="D986" s="21"/>
      <c r="E986" s="21"/>
      <c r="F986" s="21"/>
      <c r="I986" s="21"/>
      <c r="K986" s="21"/>
      <c r="L986" s="21"/>
      <c r="M986" s="21"/>
    </row>
    <row r="987" spans="4:13" ht="15.75" customHeight="1">
      <c r="D987" s="21"/>
      <c r="E987" s="21"/>
      <c r="F987" s="21"/>
      <c r="I987" s="21"/>
      <c r="K987" s="21"/>
      <c r="L987" s="21"/>
      <c r="M987" s="21"/>
    </row>
    <row r="988" spans="4:13" ht="15.75" customHeight="1">
      <c r="D988" s="21"/>
      <c r="E988" s="21"/>
      <c r="F988" s="21"/>
      <c r="I988" s="21"/>
      <c r="K988" s="21"/>
      <c r="L988" s="21"/>
      <c r="M988" s="21"/>
    </row>
    <row r="989" spans="4:13" ht="15.75" customHeight="1">
      <c r="D989" s="21"/>
      <c r="E989" s="21"/>
      <c r="F989" s="21"/>
      <c r="I989" s="21"/>
      <c r="K989" s="21"/>
      <c r="L989" s="21"/>
      <c r="M989" s="21"/>
    </row>
    <row r="990" spans="4:13" ht="15.75" customHeight="1">
      <c r="D990" s="21"/>
      <c r="E990" s="21"/>
      <c r="F990" s="21"/>
      <c r="I990" s="21"/>
      <c r="K990" s="21"/>
      <c r="L990" s="21"/>
      <c r="M990" s="21"/>
    </row>
    <row r="991" spans="4:13" ht="15.75" customHeight="1">
      <c r="D991" s="21"/>
      <c r="E991" s="21"/>
      <c r="F991" s="21"/>
      <c r="I991" s="21"/>
      <c r="K991" s="21"/>
      <c r="L991" s="21"/>
      <c r="M991" s="21"/>
    </row>
    <row r="992" spans="4:13" ht="15.75" customHeight="1">
      <c r="D992" s="21"/>
      <c r="E992" s="21"/>
      <c r="F992" s="21"/>
      <c r="I992" s="21"/>
      <c r="K992" s="21"/>
      <c r="L992" s="21"/>
      <c r="M992" s="21"/>
    </row>
    <row r="993" spans="4:13" ht="15.75" customHeight="1">
      <c r="D993" s="21"/>
      <c r="E993" s="21"/>
      <c r="F993" s="21"/>
      <c r="I993" s="21"/>
      <c r="K993" s="21"/>
      <c r="L993" s="21"/>
      <c r="M993" s="21"/>
    </row>
    <row r="994" spans="4:13" ht="15.75" customHeight="1">
      <c r="D994" s="21"/>
      <c r="E994" s="21"/>
      <c r="F994" s="21"/>
      <c r="I994" s="21"/>
      <c r="K994" s="21"/>
      <c r="L994" s="21"/>
      <c r="M994" s="21"/>
    </row>
    <row r="995" spans="4:13" ht="15.75" customHeight="1">
      <c r="D995" s="21"/>
      <c r="E995" s="21"/>
      <c r="F995" s="21"/>
      <c r="I995" s="21"/>
      <c r="K995" s="21"/>
      <c r="L995" s="21"/>
      <c r="M995" s="21"/>
    </row>
    <row r="996" spans="4:13" ht="15.75" customHeight="1">
      <c r="D996" s="21"/>
      <c r="E996" s="21"/>
      <c r="F996" s="21"/>
      <c r="I996" s="21"/>
      <c r="K996" s="21"/>
      <c r="L996" s="21"/>
      <c r="M996" s="21"/>
    </row>
    <row r="997" spans="4:13" ht="15.75" customHeight="1">
      <c r="D997" s="21"/>
      <c r="E997" s="21"/>
      <c r="F997" s="21"/>
      <c r="I997" s="21"/>
      <c r="K997" s="21"/>
      <c r="L997" s="21"/>
      <c r="M997" s="21"/>
    </row>
    <row r="998" spans="4:13" ht="15.75" customHeight="1">
      <c r="D998" s="21"/>
      <c r="E998" s="21"/>
      <c r="F998" s="21"/>
      <c r="I998" s="21"/>
      <c r="K998" s="21"/>
      <c r="L998" s="21"/>
      <c r="M998" s="21"/>
    </row>
    <row r="999" spans="4:13" ht="15.75" customHeight="1">
      <c r="D999" s="21"/>
      <c r="E999" s="21"/>
      <c r="F999" s="21"/>
      <c r="I999" s="21"/>
      <c r="K999" s="21"/>
      <c r="L999" s="21"/>
      <c r="M999" s="21"/>
    </row>
    <row r="1000" spans="4:13" ht="15.75" customHeight="1">
      <c r="D1000" s="21"/>
      <c r="E1000" s="21"/>
      <c r="F1000" s="21"/>
      <c r="I1000" s="21"/>
      <c r="K1000" s="21"/>
      <c r="L1000" s="21"/>
      <c r="M1000" s="21"/>
    </row>
    <row r="1001" spans="4:13" ht="15.75" customHeight="1">
      <c r="D1001" s="21"/>
      <c r="E1001" s="21"/>
      <c r="F1001" s="21"/>
      <c r="I1001" s="21"/>
      <c r="K1001" s="21"/>
      <c r="L1001" s="21"/>
      <c r="M1001" s="21"/>
    </row>
    <row r="1002" spans="4:13" ht="15.75" customHeight="1">
      <c r="D1002" s="21"/>
      <c r="E1002" s="21"/>
      <c r="F1002" s="21"/>
      <c r="I1002" s="21"/>
      <c r="K1002" s="21"/>
      <c r="L1002" s="21"/>
      <c r="M1002" s="21"/>
    </row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AF1002"/>
  <sheetViews>
    <sheetView workbookViewId="0"/>
  </sheetViews>
  <sheetFormatPr defaultColWidth="14.42578125" defaultRowHeight="15" customHeight="1"/>
  <cols>
    <col min="1" max="1" width="8.7109375" customWidth="1"/>
    <col min="2" max="3" width="10.42578125" customWidth="1"/>
    <col min="4" max="4" width="10.28515625" customWidth="1"/>
    <col min="5" max="5" width="18.7109375" customWidth="1"/>
    <col min="6" max="6" width="8.7109375" customWidth="1"/>
    <col min="7" max="7" width="19" customWidth="1"/>
    <col min="8" max="8" width="11" customWidth="1"/>
    <col min="9" max="9" width="36.5703125" customWidth="1"/>
    <col min="10" max="10" width="11" customWidth="1"/>
    <col min="11" max="11" width="29.5703125" customWidth="1"/>
    <col min="12" max="12" width="10.42578125" customWidth="1"/>
    <col min="13" max="13" width="28" customWidth="1"/>
    <col min="14" max="14" width="10.7109375" customWidth="1"/>
    <col min="15" max="15" width="27.5703125" customWidth="1"/>
    <col min="16" max="16" width="11.42578125" customWidth="1"/>
    <col min="17" max="17" width="24.42578125" customWidth="1"/>
    <col min="18" max="18" width="12.140625" customWidth="1"/>
    <col min="19" max="19" width="25.42578125" customWidth="1"/>
    <col min="20" max="20" width="11.140625" customWidth="1"/>
    <col min="21" max="21" width="24" customWidth="1"/>
    <col min="22" max="22" width="11.42578125" customWidth="1"/>
    <col min="23" max="23" width="25.7109375" customWidth="1"/>
    <col min="24" max="24" width="11.5703125" customWidth="1"/>
    <col min="25" max="25" width="23.42578125" customWidth="1"/>
    <col min="26" max="26" width="11" customWidth="1"/>
    <col min="27" max="27" width="20.5703125" customWidth="1"/>
    <col min="28" max="28" width="11" customWidth="1"/>
    <col min="29" max="29" width="14" customWidth="1"/>
    <col min="30" max="30" width="30.7109375" customWidth="1"/>
    <col min="31" max="31" width="15.5703125" customWidth="1"/>
    <col min="32" max="32" width="31.7109375" customWidth="1"/>
  </cols>
  <sheetData>
    <row r="1" spans="1:32">
      <c r="A1" s="15" t="s">
        <v>62</v>
      </c>
      <c r="B1" s="20"/>
      <c r="C1" s="20"/>
      <c r="F1" s="20"/>
      <c r="G1" s="20"/>
      <c r="H1" s="20"/>
      <c r="I1" s="20"/>
      <c r="J1" s="15"/>
      <c r="K1" s="15"/>
      <c r="L1" s="15"/>
      <c r="M1" s="15"/>
      <c r="N1" s="15"/>
      <c r="O1" s="15"/>
    </row>
    <row r="2" spans="1:32">
      <c r="A2" s="48" t="s">
        <v>63</v>
      </c>
      <c r="B2" s="20"/>
      <c r="C2" s="20"/>
      <c r="F2" s="20"/>
      <c r="G2" s="20"/>
      <c r="H2" s="20"/>
      <c r="I2" s="20"/>
      <c r="J2" s="15"/>
      <c r="K2" s="15"/>
      <c r="L2" s="15"/>
      <c r="M2" s="15"/>
      <c r="N2" s="15"/>
      <c r="O2" s="15"/>
    </row>
    <row r="3" spans="1:32">
      <c r="A3" t="s">
        <v>51</v>
      </c>
      <c r="B3" s="20">
        <v>42937</v>
      </c>
      <c r="C3" s="20" t="s">
        <v>114</v>
      </c>
      <c r="D3" t="s">
        <v>115</v>
      </c>
      <c r="E3" t="s">
        <v>1</v>
      </c>
      <c r="F3" s="20">
        <v>43166</v>
      </c>
      <c r="G3" s="20" t="s">
        <v>1</v>
      </c>
      <c r="H3" s="20" t="s">
        <v>86</v>
      </c>
      <c r="I3" s="20" t="s">
        <v>87</v>
      </c>
      <c r="J3" s="15" t="s">
        <v>88</v>
      </c>
      <c r="K3" s="15" t="s">
        <v>89</v>
      </c>
      <c r="L3" s="15" t="s">
        <v>90</v>
      </c>
      <c r="M3" s="15" t="s">
        <v>91</v>
      </c>
      <c r="N3" s="15" t="s">
        <v>6</v>
      </c>
      <c r="O3" s="15" t="s">
        <v>92</v>
      </c>
      <c r="P3" s="15" t="s">
        <v>7</v>
      </c>
      <c r="Q3" s="15" t="s">
        <v>93</v>
      </c>
      <c r="R3" s="15" t="s">
        <v>8</v>
      </c>
      <c r="S3" s="15" t="s">
        <v>94</v>
      </c>
      <c r="T3" s="31">
        <v>44044</v>
      </c>
      <c r="U3" s="15" t="s">
        <v>116</v>
      </c>
      <c r="V3" s="15" t="s">
        <v>117</v>
      </c>
      <c r="W3" s="15" t="s">
        <v>118</v>
      </c>
      <c r="X3" s="31">
        <v>44024</v>
      </c>
      <c r="Y3" s="15" t="s">
        <v>98</v>
      </c>
      <c r="Z3" s="15" t="s">
        <v>119</v>
      </c>
      <c r="AA3" s="15" t="s">
        <v>120</v>
      </c>
      <c r="AB3" s="15" t="s">
        <v>121</v>
      </c>
      <c r="AC3" s="15" t="s">
        <v>122</v>
      </c>
      <c r="AD3" s="15" t="s">
        <v>123</v>
      </c>
      <c r="AE3" s="31">
        <v>44442</v>
      </c>
      <c r="AF3" s="15" t="s">
        <v>101</v>
      </c>
    </row>
    <row r="4" spans="1:32">
      <c r="A4" s="21">
        <v>1</v>
      </c>
      <c r="B4" s="21">
        <v>5.8</v>
      </c>
      <c r="C4" s="21">
        <v>6.5</v>
      </c>
      <c r="D4">
        <v>6.3</v>
      </c>
      <c r="E4" t="s">
        <v>67</v>
      </c>
      <c r="F4">
        <v>7.1</v>
      </c>
      <c r="G4" t="s">
        <v>56</v>
      </c>
      <c r="H4" s="33">
        <v>8.1</v>
      </c>
      <c r="I4" s="15" t="s">
        <v>56</v>
      </c>
      <c r="J4" s="34">
        <v>8.6</v>
      </c>
      <c r="K4" s="15" t="s">
        <v>56</v>
      </c>
      <c r="L4" s="35">
        <v>6.3</v>
      </c>
      <c r="M4" s="15" t="s">
        <v>56</v>
      </c>
      <c r="N4" s="35">
        <v>8</v>
      </c>
      <c r="O4" s="15" t="s">
        <v>56</v>
      </c>
      <c r="P4" s="35">
        <v>3.6</v>
      </c>
      <c r="R4" s="45">
        <v>70.2</v>
      </c>
      <c r="S4" s="15" t="s">
        <v>60</v>
      </c>
      <c r="T4" s="35">
        <v>6.86</v>
      </c>
      <c r="U4" s="15" t="s">
        <v>56</v>
      </c>
      <c r="V4" s="34">
        <v>7.4</v>
      </c>
      <c r="W4" s="15" t="s">
        <v>56</v>
      </c>
      <c r="X4" s="49">
        <v>5.47</v>
      </c>
      <c r="Y4" s="15" t="s">
        <v>56</v>
      </c>
      <c r="Z4" s="50"/>
      <c r="AA4" s="50"/>
      <c r="AB4" s="51" t="s">
        <v>124</v>
      </c>
      <c r="AC4" s="34">
        <v>4.37</v>
      </c>
      <c r="AD4" s="15" t="s">
        <v>56</v>
      </c>
      <c r="AE4" s="49">
        <v>3.9</v>
      </c>
      <c r="AF4" s="15" t="s">
        <v>56</v>
      </c>
    </row>
    <row r="5" spans="1:32">
      <c r="A5" s="21">
        <v>2</v>
      </c>
      <c r="B5" s="21">
        <v>6.2</v>
      </c>
      <c r="C5" s="21">
        <v>5.7</v>
      </c>
      <c r="D5">
        <v>6</v>
      </c>
      <c r="E5" s="21" t="s">
        <v>67</v>
      </c>
      <c r="F5">
        <v>7.4</v>
      </c>
      <c r="G5" s="21" t="s">
        <v>56</v>
      </c>
      <c r="H5" s="33">
        <v>8.6999999999999993</v>
      </c>
      <c r="I5" s="15" t="s">
        <v>56</v>
      </c>
      <c r="J5" s="52">
        <v>9.1</v>
      </c>
      <c r="K5" s="15" t="s">
        <v>58</v>
      </c>
      <c r="L5" s="35">
        <v>6.3</v>
      </c>
      <c r="M5" s="15" t="s">
        <v>56</v>
      </c>
      <c r="N5" s="45">
        <v>51.6</v>
      </c>
      <c r="O5" s="15" t="s">
        <v>60</v>
      </c>
      <c r="P5" s="35">
        <v>4.5</v>
      </c>
      <c r="R5" s="35">
        <v>3.9</v>
      </c>
      <c r="S5" s="15" t="s">
        <v>56</v>
      </c>
      <c r="T5" s="35">
        <v>5.13</v>
      </c>
      <c r="U5" s="15" t="s">
        <v>56</v>
      </c>
      <c r="V5" s="53">
        <v>9999</v>
      </c>
      <c r="W5" s="15" t="s">
        <v>60</v>
      </c>
      <c r="X5" s="49">
        <v>4.5599999999999996</v>
      </c>
      <c r="Y5" s="15" t="s">
        <v>56</v>
      </c>
      <c r="Z5" s="50"/>
      <c r="AA5" s="50"/>
      <c r="AB5" s="51" t="s">
        <v>124</v>
      </c>
      <c r="AC5" s="34">
        <v>3.91</v>
      </c>
      <c r="AD5" s="15" t="s">
        <v>56</v>
      </c>
      <c r="AE5" s="49">
        <v>3.9</v>
      </c>
      <c r="AF5" s="15" t="s">
        <v>56</v>
      </c>
    </row>
    <row r="6" spans="1:32">
      <c r="A6" s="21">
        <v>3</v>
      </c>
      <c r="B6" s="21">
        <v>5.5</v>
      </c>
      <c r="C6" s="21">
        <v>5.9</v>
      </c>
      <c r="D6">
        <v>5.8</v>
      </c>
      <c r="E6" s="21" t="s">
        <v>67</v>
      </c>
      <c r="F6">
        <v>7.3</v>
      </c>
      <c r="G6" s="21" t="s">
        <v>56</v>
      </c>
      <c r="H6" s="33">
        <v>8.1999999999999993</v>
      </c>
      <c r="I6" s="15" t="s">
        <v>56</v>
      </c>
      <c r="J6" s="34">
        <v>8.4</v>
      </c>
      <c r="K6" s="15" t="s">
        <v>56</v>
      </c>
      <c r="L6" s="35">
        <v>5</v>
      </c>
      <c r="M6" s="15" t="s">
        <v>56</v>
      </c>
      <c r="N6" s="35">
        <v>8.3000000000000007</v>
      </c>
      <c r="O6" s="15" t="s">
        <v>56</v>
      </c>
      <c r="P6" s="54">
        <v>9.9</v>
      </c>
      <c r="Q6" s="15" t="s">
        <v>58</v>
      </c>
      <c r="R6" s="45">
        <v>53.7</v>
      </c>
      <c r="S6" s="15" t="s">
        <v>60</v>
      </c>
      <c r="T6" s="35">
        <v>16.21</v>
      </c>
      <c r="U6" s="15" t="s">
        <v>60</v>
      </c>
      <c r="V6" s="53">
        <v>26.9</v>
      </c>
      <c r="W6" s="15" t="s">
        <v>60</v>
      </c>
      <c r="X6" s="49">
        <v>4.1900000000000004</v>
      </c>
      <c r="Y6" s="15" t="s">
        <v>56</v>
      </c>
      <c r="Z6" s="50"/>
      <c r="AA6" s="50"/>
      <c r="AB6" s="51" t="s">
        <v>124</v>
      </c>
      <c r="AC6" s="34">
        <v>3.88</v>
      </c>
      <c r="AD6" s="15" t="s">
        <v>56</v>
      </c>
      <c r="AE6" s="49">
        <v>3.9</v>
      </c>
      <c r="AF6" s="15" t="s">
        <v>56</v>
      </c>
    </row>
    <row r="7" spans="1:32">
      <c r="A7" s="21">
        <v>4</v>
      </c>
      <c r="B7" s="21">
        <v>6</v>
      </c>
      <c r="C7" s="21">
        <v>5.5</v>
      </c>
      <c r="D7">
        <v>6</v>
      </c>
      <c r="E7" s="21" t="s">
        <v>67</v>
      </c>
      <c r="F7">
        <v>7.2</v>
      </c>
      <c r="G7" s="21" t="s">
        <v>56</v>
      </c>
      <c r="H7" s="33">
        <v>7.9</v>
      </c>
      <c r="I7" s="15" t="s">
        <v>56</v>
      </c>
      <c r="J7" s="34">
        <v>8.5</v>
      </c>
      <c r="K7" s="15" t="s">
        <v>56</v>
      </c>
      <c r="L7" s="35">
        <v>4.4000000000000004</v>
      </c>
      <c r="M7" s="15" t="s">
        <v>56</v>
      </c>
      <c r="N7" s="45">
        <v>21.2</v>
      </c>
      <c r="O7" s="15" t="s">
        <v>60</v>
      </c>
      <c r="P7" s="54">
        <v>11.6</v>
      </c>
      <c r="Q7" s="15" t="s">
        <v>58</v>
      </c>
      <c r="R7" s="35">
        <v>3.9</v>
      </c>
      <c r="S7" s="15" t="s">
        <v>56</v>
      </c>
      <c r="T7" s="55"/>
      <c r="U7" s="15" t="s">
        <v>106</v>
      </c>
      <c r="V7" s="53">
        <v>9999</v>
      </c>
      <c r="W7" s="15" t="s">
        <v>60</v>
      </c>
      <c r="X7" s="49">
        <v>5.3</v>
      </c>
      <c r="Y7" s="15" t="s">
        <v>56</v>
      </c>
      <c r="Z7" s="50"/>
      <c r="AA7" s="50"/>
      <c r="AB7" s="51" t="s">
        <v>124</v>
      </c>
      <c r="AC7" s="34">
        <v>4.04</v>
      </c>
      <c r="AD7" s="15" t="s">
        <v>56</v>
      </c>
      <c r="AE7" s="49">
        <v>3.66</v>
      </c>
      <c r="AF7" s="15" t="s">
        <v>56</v>
      </c>
    </row>
    <row r="8" spans="1:32">
      <c r="A8" s="21">
        <v>5</v>
      </c>
      <c r="B8" s="21">
        <v>5.6</v>
      </c>
      <c r="C8" s="21">
        <v>5.0999999999999996</v>
      </c>
      <c r="D8">
        <v>6.3</v>
      </c>
      <c r="E8" s="21" t="s">
        <v>67</v>
      </c>
      <c r="F8">
        <v>7.2</v>
      </c>
      <c r="G8" s="21" t="s">
        <v>56</v>
      </c>
      <c r="H8" s="33">
        <v>7.9</v>
      </c>
      <c r="I8" s="15" t="s">
        <v>56</v>
      </c>
      <c r="J8" s="34">
        <v>8.1999999999999993</v>
      </c>
      <c r="K8" s="15" t="s">
        <v>56</v>
      </c>
      <c r="L8" s="35">
        <v>4.0999999999999996</v>
      </c>
      <c r="M8" s="15" t="s">
        <v>56</v>
      </c>
      <c r="N8" s="35">
        <v>5.4</v>
      </c>
      <c r="P8" s="35">
        <v>4</v>
      </c>
      <c r="R8" s="35">
        <v>6</v>
      </c>
      <c r="S8" s="15" t="s">
        <v>56</v>
      </c>
      <c r="T8" s="35">
        <v>7.46</v>
      </c>
      <c r="U8" s="15" t="s">
        <v>56</v>
      </c>
      <c r="V8" s="34">
        <v>5.14</v>
      </c>
      <c r="W8" s="15" t="s">
        <v>56</v>
      </c>
      <c r="X8" s="49">
        <v>4.16</v>
      </c>
      <c r="Y8" s="15" t="s">
        <v>56</v>
      </c>
      <c r="Z8" s="50"/>
      <c r="AA8" s="50"/>
      <c r="AB8" s="51" t="s">
        <v>124</v>
      </c>
      <c r="AC8" s="34">
        <v>4.2300000000000004</v>
      </c>
      <c r="AD8" s="15" t="s">
        <v>56</v>
      </c>
      <c r="AE8" s="49">
        <v>4.21</v>
      </c>
      <c r="AF8" s="15" t="s">
        <v>56</v>
      </c>
    </row>
    <row r="9" spans="1:32">
      <c r="A9" s="21">
        <v>6</v>
      </c>
      <c r="B9" s="21">
        <v>6.4</v>
      </c>
      <c r="C9" s="21">
        <v>5.7</v>
      </c>
      <c r="D9">
        <v>6.3</v>
      </c>
      <c r="E9" s="21" t="s">
        <v>67</v>
      </c>
      <c r="F9">
        <v>7.9</v>
      </c>
      <c r="G9" s="21" t="s">
        <v>56</v>
      </c>
      <c r="H9" s="33">
        <v>8.9</v>
      </c>
      <c r="I9" s="15" t="s">
        <v>56</v>
      </c>
      <c r="J9" s="52">
        <v>9.6</v>
      </c>
      <c r="K9" s="15" t="s">
        <v>58</v>
      </c>
      <c r="L9" s="35">
        <v>4.5</v>
      </c>
      <c r="M9" s="15" t="s">
        <v>56</v>
      </c>
      <c r="N9" s="35">
        <v>7.8</v>
      </c>
      <c r="P9" s="35">
        <v>4.4000000000000004</v>
      </c>
      <c r="R9" s="35">
        <v>4</v>
      </c>
      <c r="S9" s="15" t="s">
        <v>56</v>
      </c>
      <c r="T9" s="35">
        <v>4.0999999999999996</v>
      </c>
      <c r="U9" s="15" t="s">
        <v>56</v>
      </c>
      <c r="V9" s="34">
        <v>5.21</v>
      </c>
      <c r="W9" s="15" t="s">
        <v>56</v>
      </c>
      <c r="X9" s="56">
        <v>11.63</v>
      </c>
      <c r="Y9" s="15" t="s">
        <v>58</v>
      </c>
      <c r="Z9" s="50"/>
      <c r="AA9" s="50"/>
      <c r="AB9" s="51" t="s">
        <v>124</v>
      </c>
      <c r="AC9" s="34">
        <v>4.0599999999999996</v>
      </c>
      <c r="AD9" s="15" t="s">
        <v>56</v>
      </c>
      <c r="AE9" s="49">
        <v>4.32</v>
      </c>
      <c r="AF9" s="15" t="s">
        <v>56</v>
      </c>
    </row>
    <row r="10" spans="1:32">
      <c r="A10" s="21">
        <v>7</v>
      </c>
      <c r="B10" s="21">
        <v>5.4</v>
      </c>
      <c r="C10" s="21">
        <v>5.0999999999999996</v>
      </c>
      <c r="D10">
        <v>5.4</v>
      </c>
      <c r="E10" s="21" t="s">
        <v>67</v>
      </c>
      <c r="F10">
        <v>6.8</v>
      </c>
      <c r="G10" s="21" t="s">
        <v>56</v>
      </c>
      <c r="H10" s="33">
        <v>7.7</v>
      </c>
      <c r="I10" s="15" t="s">
        <v>56</v>
      </c>
      <c r="J10" s="34">
        <v>7.5</v>
      </c>
      <c r="K10" s="15" t="s">
        <v>56</v>
      </c>
      <c r="L10" s="35">
        <v>3.9</v>
      </c>
      <c r="M10" s="15" t="s">
        <v>56</v>
      </c>
      <c r="N10" s="35">
        <v>5</v>
      </c>
      <c r="P10" s="35">
        <v>5.8</v>
      </c>
      <c r="R10" s="35">
        <v>3.7</v>
      </c>
      <c r="S10" s="15" t="s">
        <v>56</v>
      </c>
      <c r="T10" s="35">
        <v>3.92</v>
      </c>
      <c r="U10" s="15" t="s">
        <v>56</v>
      </c>
      <c r="V10" s="34">
        <v>4.8099999999999996</v>
      </c>
      <c r="W10" s="15" t="s">
        <v>56</v>
      </c>
      <c r="X10" s="49">
        <v>5.1100000000000003</v>
      </c>
      <c r="Y10" s="15" t="s">
        <v>56</v>
      </c>
      <c r="Z10" s="50"/>
      <c r="AA10" s="50"/>
      <c r="AB10" s="51" t="s">
        <v>124</v>
      </c>
      <c r="AC10" s="34">
        <v>5.64</v>
      </c>
      <c r="AD10" s="15" t="s">
        <v>56</v>
      </c>
      <c r="AE10" s="49">
        <v>5.04</v>
      </c>
      <c r="AF10" s="15" t="s">
        <v>56</v>
      </c>
    </row>
    <row r="11" spans="1:32">
      <c r="A11" s="21">
        <v>8</v>
      </c>
      <c r="B11" s="21">
        <v>6</v>
      </c>
      <c r="C11" s="21">
        <v>5.8</v>
      </c>
      <c r="D11">
        <v>6.4</v>
      </c>
      <c r="E11" s="21" t="s">
        <v>67</v>
      </c>
      <c r="F11">
        <v>8.5</v>
      </c>
      <c r="G11" s="21" t="s">
        <v>56</v>
      </c>
      <c r="H11" s="57">
        <v>9.5</v>
      </c>
      <c r="I11" s="15" t="s">
        <v>58</v>
      </c>
      <c r="J11" s="52">
        <v>10.6</v>
      </c>
      <c r="K11" s="15" t="s">
        <v>58</v>
      </c>
      <c r="L11" s="35">
        <v>5.0999999999999996</v>
      </c>
      <c r="M11" s="15" t="s">
        <v>56</v>
      </c>
      <c r="N11" s="35">
        <v>4.2</v>
      </c>
      <c r="P11" s="35">
        <v>6.7</v>
      </c>
      <c r="R11" s="35">
        <v>4.0999999999999996</v>
      </c>
      <c r="S11" s="15" t="s">
        <v>56</v>
      </c>
      <c r="T11" s="35">
        <v>6.09</v>
      </c>
      <c r="U11" s="15" t="s">
        <v>56</v>
      </c>
      <c r="V11" s="34">
        <v>5.97</v>
      </c>
      <c r="W11" s="15" t="s">
        <v>56</v>
      </c>
      <c r="X11" s="49">
        <v>4.09</v>
      </c>
      <c r="Y11" s="15" t="s">
        <v>56</v>
      </c>
      <c r="Z11" s="50"/>
      <c r="AA11" s="50"/>
      <c r="AB11" s="51" t="s">
        <v>124</v>
      </c>
      <c r="AC11" s="34">
        <v>4.75</v>
      </c>
      <c r="AD11" s="15" t="s">
        <v>56</v>
      </c>
      <c r="AE11" s="49">
        <v>4.8</v>
      </c>
      <c r="AF11" s="15" t="s">
        <v>56</v>
      </c>
    </row>
    <row r="12" spans="1:32">
      <c r="A12" s="21">
        <v>9</v>
      </c>
      <c r="B12" s="21">
        <v>6.1</v>
      </c>
      <c r="C12" s="21">
        <v>6.2</v>
      </c>
      <c r="D12">
        <v>6.9</v>
      </c>
      <c r="E12" s="21" t="s">
        <v>67</v>
      </c>
      <c r="F12">
        <v>8.6</v>
      </c>
      <c r="G12" s="21" t="s">
        <v>56</v>
      </c>
      <c r="H12" s="57">
        <v>9.8000000000000007</v>
      </c>
      <c r="I12" s="15" t="s">
        <v>58</v>
      </c>
      <c r="J12" s="52">
        <v>10.5</v>
      </c>
      <c r="K12" s="15" t="s">
        <v>58</v>
      </c>
      <c r="L12" s="35">
        <v>4.3</v>
      </c>
      <c r="M12" s="15" t="s">
        <v>56</v>
      </c>
      <c r="N12" s="35">
        <v>4.0999999999999996</v>
      </c>
      <c r="P12" s="35">
        <v>3.9</v>
      </c>
      <c r="R12" s="35">
        <v>3.6</v>
      </c>
      <c r="S12" s="15" t="s">
        <v>56</v>
      </c>
      <c r="T12" s="35">
        <v>3.93</v>
      </c>
      <c r="U12" s="15" t="s">
        <v>56</v>
      </c>
      <c r="V12" s="53">
        <v>9999</v>
      </c>
      <c r="W12" s="15" t="s">
        <v>60</v>
      </c>
      <c r="X12" s="49">
        <v>4.62</v>
      </c>
      <c r="Y12" s="15" t="s">
        <v>56</v>
      </c>
      <c r="Z12" s="50"/>
      <c r="AA12" s="50"/>
      <c r="AB12" s="51" t="s">
        <v>124</v>
      </c>
      <c r="AC12" s="34">
        <v>4.91</v>
      </c>
      <c r="AD12" s="15" t="s">
        <v>56</v>
      </c>
      <c r="AE12" s="49">
        <v>4.28</v>
      </c>
      <c r="AF12" s="15" t="s">
        <v>56</v>
      </c>
    </row>
    <row r="13" spans="1:32">
      <c r="A13" s="21">
        <v>10</v>
      </c>
      <c r="B13" s="21">
        <v>6.3</v>
      </c>
      <c r="C13" s="21">
        <v>5.6</v>
      </c>
      <c r="D13">
        <v>5.9</v>
      </c>
      <c r="E13" s="21" t="s">
        <v>67</v>
      </c>
      <c r="F13">
        <v>7.8</v>
      </c>
      <c r="G13" s="21" t="s">
        <v>56</v>
      </c>
      <c r="H13" s="33">
        <v>8.9</v>
      </c>
      <c r="I13" s="15" t="s">
        <v>56</v>
      </c>
      <c r="J13" s="52">
        <v>9.1999999999999993</v>
      </c>
      <c r="K13" s="15" t="s">
        <v>58</v>
      </c>
      <c r="L13" s="35">
        <v>4.9000000000000004</v>
      </c>
      <c r="M13" s="15" t="s">
        <v>56</v>
      </c>
      <c r="N13" s="35">
        <v>4.5</v>
      </c>
      <c r="P13" s="35">
        <v>3.9</v>
      </c>
      <c r="R13" s="35">
        <v>4</v>
      </c>
      <c r="S13" s="15" t="s">
        <v>56</v>
      </c>
      <c r="T13" s="55"/>
      <c r="U13" s="15" t="s">
        <v>106</v>
      </c>
      <c r="V13" s="34">
        <v>4.05</v>
      </c>
      <c r="W13" s="15" t="s">
        <v>56</v>
      </c>
      <c r="X13" s="49">
        <v>4.05</v>
      </c>
      <c r="Y13" s="15" t="s">
        <v>56</v>
      </c>
      <c r="Z13" s="50"/>
      <c r="AA13" s="50"/>
      <c r="AB13" s="51" t="s">
        <v>124</v>
      </c>
      <c r="AC13" s="34">
        <v>4.18</v>
      </c>
      <c r="AD13" s="15" t="s">
        <v>56</v>
      </c>
      <c r="AE13" s="49">
        <v>3.87</v>
      </c>
      <c r="AF13" s="15" t="s">
        <v>56</v>
      </c>
    </row>
    <row r="14" spans="1:32">
      <c r="A14" s="21">
        <v>11</v>
      </c>
      <c r="B14" s="21">
        <v>5.6</v>
      </c>
      <c r="C14" s="21">
        <v>6</v>
      </c>
      <c r="D14">
        <v>6.6</v>
      </c>
      <c r="E14" s="21" t="s">
        <v>67</v>
      </c>
      <c r="F14">
        <v>8.1999999999999993</v>
      </c>
      <c r="G14" s="21" t="s">
        <v>56</v>
      </c>
      <c r="H14" s="33">
        <v>9.8000000000000007</v>
      </c>
      <c r="I14" s="15" t="s">
        <v>56</v>
      </c>
      <c r="J14" s="52">
        <v>10.4</v>
      </c>
      <c r="K14" s="15" t="s">
        <v>58</v>
      </c>
      <c r="L14" s="54">
        <v>11.4</v>
      </c>
      <c r="M14" s="15" t="s">
        <v>58</v>
      </c>
      <c r="N14" s="45">
        <v>49.7</v>
      </c>
      <c r="O14" s="15" t="s">
        <v>60</v>
      </c>
      <c r="P14" s="35">
        <v>4.2</v>
      </c>
      <c r="R14" s="45">
        <v>69</v>
      </c>
      <c r="S14" s="15" t="s">
        <v>60</v>
      </c>
      <c r="T14" s="55"/>
      <c r="U14" s="15" t="s">
        <v>106</v>
      </c>
      <c r="V14" s="34">
        <v>4.16</v>
      </c>
      <c r="W14" s="15" t="s">
        <v>56</v>
      </c>
      <c r="X14" s="49">
        <v>4.17</v>
      </c>
      <c r="Y14" s="15" t="s">
        <v>56</v>
      </c>
      <c r="Z14" s="50"/>
      <c r="AA14" s="50"/>
      <c r="AB14" s="51" t="s">
        <v>124</v>
      </c>
      <c r="AC14" s="34">
        <v>4.37</v>
      </c>
      <c r="AD14" s="15" t="s">
        <v>56</v>
      </c>
      <c r="AE14" s="49">
        <v>3.88</v>
      </c>
      <c r="AF14" s="15" t="s">
        <v>56</v>
      </c>
    </row>
    <row r="15" spans="1:32">
      <c r="A15" s="21">
        <v>12</v>
      </c>
      <c r="B15" s="21">
        <v>5.8</v>
      </c>
      <c r="C15" s="21">
        <v>5.4</v>
      </c>
      <c r="D15">
        <v>5.9</v>
      </c>
      <c r="E15" s="21" t="s">
        <v>67</v>
      </c>
      <c r="F15">
        <v>7.4</v>
      </c>
      <c r="G15" s="21" t="s">
        <v>56</v>
      </c>
      <c r="H15" s="33">
        <v>7.9</v>
      </c>
      <c r="I15" s="15" t="s">
        <v>56</v>
      </c>
      <c r="J15" s="34">
        <v>8.5</v>
      </c>
      <c r="K15" s="15" t="s">
        <v>56</v>
      </c>
      <c r="L15" s="35">
        <v>5.4</v>
      </c>
      <c r="M15" s="15" t="s">
        <v>56</v>
      </c>
      <c r="N15" s="35">
        <v>5.8</v>
      </c>
      <c r="P15" s="35">
        <v>4.3</v>
      </c>
      <c r="R15" s="35">
        <v>6.8</v>
      </c>
      <c r="S15" s="15" t="s">
        <v>56</v>
      </c>
      <c r="T15" s="35">
        <v>4.21</v>
      </c>
      <c r="U15" s="15" t="s">
        <v>56</v>
      </c>
      <c r="V15" s="53">
        <v>9999</v>
      </c>
      <c r="W15" s="15" t="s">
        <v>60</v>
      </c>
      <c r="X15" s="58">
        <v>9999</v>
      </c>
      <c r="Y15" s="15" t="s">
        <v>60</v>
      </c>
      <c r="Z15" s="50"/>
      <c r="AA15" s="50"/>
      <c r="AB15" s="51" t="s">
        <v>124</v>
      </c>
      <c r="AC15" s="34">
        <v>3.97</v>
      </c>
      <c r="AD15" s="15" t="s">
        <v>56</v>
      </c>
      <c r="AE15" s="49">
        <v>3.88</v>
      </c>
      <c r="AF15" s="15" t="s">
        <v>56</v>
      </c>
    </row>
    <row r="16" spans="1:32">
      <c r="A16" s="21">
        <v>13</v>
      </c>
      <c r="B16" s="21">
        <v>5.5</v>
      </c>
      <c r="C16" s="21">
        <v>5.4</v>
      </c>
      <c r="D16">
        <v>5.7</v>
      </c>
      <c r="E16" s="21" t="s">
        <v>67</v>
      </c>
      <c r="F16">
        <v>7</v>
      </c>
      <c r="G16" s="21" t="s">
        <v>56</v>
      </c>
      <c r="H16" s="33">
        <v>7.9</v>
      </c>
      <c r="I16" s="15" t="s">
        <v>56</v>
      </c>
      <c r="J16" s="34">
        <v>8</v>
      </c>
      <c r="K16" s="15" t="s">
        <v>56</v>
      </c>
      <c r="L16" s="35">
        <v>4.4000000000000004</v>
      </c>
      <c r="M16" s="15" t="s">
        <v>56</v>
      </c>
      <c r="N16" s="35">
        <v>7</v>
      </c>
      <c r="P16" s="35">
        <v>7.2</v>
      </c>
      <c r="R16" s="35">
        <v>7.7</v>
      </c>
      <c r="S16" s="15" t="s">
        <v>56</v>
      </c>
      <c r="T16" s="35">
        <v>4.04</v>
      </c>
      <c r="U16" s="15" t="s">
        <v>56</v>
      </c>
      <c r="V16" s="34">
        <v>4.09</v>
      </c>
      <c r="W16" s="15" t="s">
        <v>56</v>
      </c>
      <c r="X16" s="49">
        <v>4.79</v>
      </c>
      <c r="Y16" s="15" t="s">
        <v>56</v>
      </c>
      <c r="Z16" s="50"/>
      <c r="AA16" s="50"/>
      <c r="AB16" s="51" t="s">
        <v>124</v>
      </c>
      <c r="AC16" s="34">
        <v>4.6100000000000003</v>
      </c>
      <c r="AD16" s="15" t="s">
        <v>56</v>
      </c>
      <c r="AE16" s="49">
        <v>4.29</v>
      </c>
      <c r="AF16" s="15" t="s">
        <v>56</v>
      </c>
    </row>
    <row r="17" spans="1:32">
      <c r="A17" s="21">
        <v>14</v>
      </c>
      <c r="B17" s="21">
        <v>5.6</v>
      </c>
      <c r="C17" s="21">
        <v>5</v>
      </c>
      <c r="D17">
        <v>5.7</v>
      </c>
      <c r="E17" s="21" t="s">
        <v>67</v>
      </c>
      <c r="F17">
        <v>6.7</v>
      </c>
      <c r="G17" s="21" t="s">
        <v>56</v>
      </c>
      <c r="H17" s="33">
        <v>8.8000000000000007</v>
      </c>
      <c r="I17" s="15" t="s">
        <v>56</v>
      </c>
      <c r="J17" s="34">
        <v>7.4</v>
      </c>
      <c r="K17" s="15" t="s">
        <v>56</v>
      </c>
      <c r="L17" s="35">
        <v>4.9000000000000004</v>
      </c>
      <c r="M17" s="15" t="s">
        <v>56</v>
      </c>
      <c r="N17" s="35">
        <v>4.0999999999999996</v>
      </c>
      <c r="P17" s="35">
        <v>4.9000000000000004</v>
      </c>
      <c r="R17" s="35">
        <v>3.9</v>
      </c>
      <c r="S17" s="15" t="s">
        <v>56</v>
      </c>
      <c r="T17" s="35">
        <v>4.16</v>
      </c>
      <c r="U17" s="15" t="s">
        <v>56</v>
      </c>
      <c r="V17" s="34">
        <v>3.99</v>
      </c>
      <c r="W17" s="15" t="s">
        <v>56</v>
      </c>
      <c r="X17" s="58">
        <v>28.97</v>
      </c>
      <c r="Y17" s="15" t="s">
        <v>60</v>
      </c>
      <c r="Z17" s="50"/>
      <c r="AA17" s="50"/>
      <c r="AB17" s="51" t="s">
        <v>124</v>
      </c>
      <c r="AC17" s="34">
        <v>3.93</v>
      </c>
      <c r="AD17" s="15" t="s">
        <v>56</v>
      </c>
      <c r="AE17" s="49">
        <v>3.76</v>
      </c>
      <c r="AF17" s="15" t="s">
        <v>56</v>
      </c>
    </row>
    <row r="18" spans="1:32">
      <c r="A18" s="21">
        <v>15</v>
      </c>
      <c r="B18" s="21">
        <v>5.7</v>
      </c>
      <c r="C18" s="21">
        <v>5.6</v>
      </c>
      <c r="D18">
        <v>6</v>
      </c>
      <c r="E18" s="21" t="s">
        <v>67</v>
      </c>
      <c r="F18">
        <v>7.8</v>
      </c>
      <c r="G18" s="21" t="s">
        <v>56</v>
      </c>
      <c r="H18" s="33">
        <v>7.9</v>
      </c>
      <c r="I18" s="15" t="s">
        <v>56</v>
      </c>
      <c r="J18" s="52">
        <v>9.1</v>
      </c>
      <c r="K18" s="15" t="s">
        <v>58</v>
      </c>
      <c r="L18" s="35">
        <v>5</v>
      </c>
      <c r="M18" s="15" t="s">
        <v>56</v>
      </c>
      <c r="N18" s="35">
        <v>5.7</v>
      </c>
      <c r="P18" s="35">
        <v>5.8</v>
      </c>
      <c r="R18" s="35">
        <v>5.6</v>
      </c>
      <c r="S18" s="15" t="s">
        <v>56</v>
      </c>
      <c r="T18" s="35">
        <v>3.97</v>
      </c>
      <c r="U18" s="15" t="s">
        <v>56</v>
      </c>
      <c r="V18" s="53">
        <v>9999</v>
      </c>
      <c r="W18" s="15" t="s">
        <v>60</v>
      </c>
      <c r="X18" s="56">
        <v>9.24</v>
      </c>
      <c r="Y18" s="15" t="s">
        <v>58</v>
      </c>
      <c r="Z18" s="50"/>
      <c r="AA18" s="50"/>
      <c r="AB18" s="51" t="s">
        <v>124</v>
      </c>
      <c r="AC18" s="34">
        <v>4.03</v>
      </c>
      <c r="AD18" s="15" t="s">
        <v>56</v>
      </c>
      <c r="AE18" s="49">
        <v>3.85</v>
      </c>
      <c r="AF18" s="15" t="s">
        <v>56</v>
      </c>
    </row>
    <row r="19" spans="1:32">
      <c r="A19" s="21">
        <v>16</v>
      </c>
      <c r="B19" s="21">
        <v>6.1</v>
      </c>
      <c r="C19" s="21">
        <v>5.2</v>
      </c>
      <c r="D19">
        <v>5.6</v>
      </c>
      <c r="E19" s="21" t="s">
        <v>67</v>
      </c>
      <c r="F19">
        <v>6.8</v>
      </c>
      <c r="G19" s="21" t="s">
        <v>56</v>
      </c>
      <c r="H19" s="33">
        <v>7.6</v>
      </c>
      <c r="I19" s="15" t="s">
        <v>56</v>
      </c>
      <c r="J19" s="34">
        <v>8.9</v>
      </c>
      <c r="K19" s="15" t="s">
        <v>56</v>
      </c>
      <c r="L19" s="35">
        <v>3.9</v>
      </c>
      <c r="M19" s="15" t="s">
        <v>56</v>
      </c>
      <c r="N19" s="35">
        <v>5.8</v>
      </c>
      <c r="P19" s="35">
        <v>4.9000000000000004</v>
      </c>
      <c r="R19" s="35">
        <v>3.9</v>
      </c>
      <c r="S19" s="15" t="s">
        <v>56</v>
      </c>
      <c r="T19" s="35">
        <v>4.04</v>
      </c>
      <c r="U19" s="15" t="s">
        <v>56</v>
      </c>
      <c r="V19" s="34">
        <v>5.15</v>
      </c>
      <c r="W19" s="15" t="s">
        <v>56</v>
      </c>
      <c r="X19" s="49">
        <v>5.25</v>
      </c>
      <c r="Y19" s="15" t="s">
        <v>56</v>
      </c>
      <c r="Z19" s="50"/>
      <c r="AA19" s="50"/>
      <c r="AB19" s="51" t="s">
        <v>124</v>
      </c>
      <c r="AC19" s="34">
        <v>3.82</v>
      </c>
      <c r="AD19" s="15" t="s">
        <v>56</v>
      </c>
      <c r="AE19" s="49">
        <v>3.82</v>
      </c>
      <c r="AF19" s="15" t="s">
        <v>56</v>
      </c>
    </row>
    <row r="20" spans="1:32">
      <c r="A20" s="21">
        <v>17</v>
      </c>
      <c r="B20" s="21">
        <v>5.9</v>
      </c>
      <c r="C20" s="21">
        <v>5.3</v>
      </c>
      <c r="D20">
        <v>5.6</v>
      </c>
      <c r="E20" s="21" t="s">
        <v>67</v>
      </c>
      <c r="F20">
        <v>6.5</v>
      </c>
      <c r="G20" s="21" t="s">
        <v>56</v>
      </c>
      <c r="H20" s="33">
        <v>7.5</v>
      </c>
      <c r="I20" s="15" t="s">
        <v>56</v>
      </c>
      <c r="J20" s="34">
        <v>8.1999999999999993</v>
      </c>
      <c r="K20" s="15" t="s">
        <v>56</v>
      </c>
      <c r="L20" s="35">
        <v>4.8</v>
      </c>
      <c r="M20" s="15" t="s">
        <v>56</v>
      </c>
      <c r="N20" s="35">
        <v>4</v>
      </c>
      <c r="P20" s="35">
        <v>6.3</v>
      </c>
      <c r="R20" s="35">
        <v>4</v>
      </c>
      <c r="S20" s="15" t="s">
        <v>56</v>
      </c>
      <c r="T20" s="35">
        <v>4.04</v>
      </c>
      <c r="U20" s="15" t="s">
        <v>56</v>
      </c>
      <c r="V20" s="53">
        <v>9999</v>
      </c>
      <c r="W20" s="15" t="s">
        <v>60</v>
      </c>
      <c r="X20" s="49">
        <v>5.55</v>
      </c>
      <c r="Y20" s="15" t="s">
        <v>56</v>
      </c>
      <c r="Z20" s="50"/>
      <c r="AA20" s="50"/>
      <c r="AB20" s="51" t="s">
        <v>124</v>
      </c>
      <c r="AC20" s="34">
        <v>3.93</v>
      </c>
      <c r="AD20" s="15" t="s">
        <v>56</v>
      </c>
      <c r="AE20" s="49">
        <v>3.93</v>
      </c>
      <c r="AF20" s="15" t="s">
        <v>56</v>
      </c>
    </row>
    <row r="21" spans="1:32">
      <c r="A21" s="21">
        <v>18</v>
      </c>
      <c r="B21" s="21">
        <v>5.9</v>
      </c>
      <c r="C21" s="21">
        <v>5.3</v>
      </c>
      <c r="D21">
        <v>5.7</v>
      </c>
      <c r="E21" s="21" t="s">
        <v>67</v>
      </c>
      <c r="F21">
        <v>6.8</v>
      </c>
      <c r="G21" s="21" t="s">
        <v>56</v>
      </c>
      <c r="H21" s="57">
        <v>9.1999999999999993</v>
      </c>
      <c r="I21" s="15" t="s">
        <v>58</v>
      </c>
      <c r="J21" s="34">
        <v>7.9</v>
      </c>
      <c r="K21" s="15" t="s">
        <v>56</v>
      </c>
      <c r="L21" s="35">
        <v>4.5</v>
      </c>
      <c r="M21" s="15" t="s">
        <v>56</v>
      </c>
      <c r="N21" s="35">
        <v>3.9</v>
      </c>
      <c r="P21" s="54">
        <v>10.6</v>
      </c>
      <c r="Q21" s="15" t="s">
        <v>58</v>
      </c>
      <c r="R21" s="35">
        <v>4.0999999999999996</v>
      </c>
      <c r="S21" s="15" t="s">
        <v>56</v>
      </c>
      <c r="T21" s="35">
        <v>4</v>
      </c>
      <c r="U21" s="15" t="s">
        <v>56</v>
      </c>
      <c r="V21" s="53">
        <v>9999</v>
      </c>
      <c r="W21" s="15" t="s">
        <v>60</v>
      </c>
      <c r="X21" s="49">
        <v>7.3</v>
      </c>
      <c r="Y21" s="15" t="s">
        <v>56</v>
      </c>
      <c r="Z21" s="50"/>
      <c r="AA21" s="50"/>
      <c r="AB21" s="51" t="s">
        <v>124</v>
      </c>
      <c r="AC21" s="34">
        <v>3.78</v>
      </c>
      <c r="AD21" s="15" t="s">
        <v>56</v>
      </c>
      <c r="AE21" s="49">
        <v>3.81</v>
      </c>
      <c r="AF21" s="15" t="s">
        <v>56</v>
      </c>
    </row>
    <row r="22" spans="1:32">
      <c r="A22" s="21">
        <v>19</v>
      </c>
      <c r="B22" s="21">
        <v>5.7</v>
      </c>
      <c r="C22" s="21">
        <v>5.9</v>
      </c>
      <c r="D22">
        <v>6.4</v>
      </c>
      <c r="E22" s="21" t="s">
        <v>67</v>
      </c>
      <c r="F22">
        <v>7.7</v>
      </c>
      <c r="G22" s="21" t="s">
        <v>56</v>
      </c>
      <c r="H22" s="57">
        <v>9.5</v>
      </c>
      <c r="I22" s="15" t="s">
        <v>58</v>
      </c>
      <c r="J22" s="52">
        <v>10.3</v>
      </c>
      <c r="K22" s="15" t="s">
        <v>58</v>
      </c>
      <c r="L22" s="35">
        <v>5</v>
      </c>
      <c r="M22" s="15" t="s">
        <v>56</v>
      </c>
      <c r="N22" s="35">
        <v>4</v>
      </c>
      <c r="P22" s="35">
        <v>6.1</v>
      </c>
      <c r="R22" s="35">
        <v>5.9</v>
      </c>
      <c r="S22" s="15" t="s">
        <v>56</v>
      </c>
      <c r="T22" s="35">
        <v>4.09</v>
      </c>
      <c r="U22" s="15" t="s">
        <v>56</v>
      </c>
      <c r="V22" s="53">
        <v>17.16</v>
      </c>
      <c r="W22" s="15" t="s">
        <v>60</v>
      </c>
      <c r="X22" s="49">
        <v>4.22</v>
      </c>
      <c r="Y22" s="15" t="s">
        <v>56</v>
      </c>
      <c r="Z22" s="50"/>
      <c r="AA22" s="50"/>
      <c r="AB22" s="51" t="s">
        <v>124</v>
      </c>
      <c r="AC22" s="34">
        <v>4.17</v>
      </c>
      <c r="AD22" s="15" t="s">
        <v>56</v>
      </c>
      <c r="AE22" s="49">
        <v>4.0999999999999996</v>
      </c>
      <c r="AF22" s="15" t="s">
        <v>56</v>
      </c>
    </row>
    <row r="23" spans="1:32" ht="15.75" customHeight="1">
      <c r="A23" s="21">
        <v>20</v>
      </c>
      <c r="B23" s="21">
        <v>5.4</v>
      </c>
      <c r="C23" s="21">
        <v>5.7</v>
      </c>
      <c r="D23">
        <v>6.7</v>
      </c>
      <c r="E23" s="21" t="s">
        <v>67</v>
      </c>
      <c r="F23">
        <v>7.9</v>
      </c>
      <c r="G23" s="21" t="s">
        <v>56</v>
      </c>
      <c r="H23" s="57">
        <v>9.9</v>
      </c>
      <c r="I23" s="15" t="s">
        <v>58</v>
      </c>
      <c r="J23" s="52">
        <v>10.3</v>
      </c>
      <c r="K23" s="15" t="s">
        <v>58</v>
      </c>
      <c r="L23" s="35">
        <v>4</v>
      </c>
      <c r="M23" s="15" t="s">
        <v>56</v>
      </c>
      <c r="N23" s="35">
        <v>3.9</v>
      </c>
      <c r="P23" s="35">
        <v>6.2</v>
      </c>
      <c r="R23" s="35">
        <v>4.0999999999999996</v>
      </c>
      <c r="S23" s="15" t="s">
        <v>56</v>
      </c>
      <c r="T23" s="35">
        <v>3.98</v>
      </c>
      <c r="U23" s="15" t="s">
        <v>56</v>
      </c>
      <c r="V23" s="53">
        <v>16.809999999999999</v>
      </c>
      <c r="W23" s="15" t="s">
        <v>60</v>
      </c>
      <c r="X23" s="49">
        <v>4.12</v>
      </c>
      <c r="Y23" s="15" t="s">
        <v>56</v>
      </c>
      <c r="Z23" s="50"/>
      <c r="AA23" s="50"/>
      <c r="AB23" s="51" t="s">
        <v>124</v>
      </c>
      <c r="AC23" s="34">
        <v>3.89</v>
      </c>
      <c r="AD23" s="15" t="s">
        <v>56</v>
      </c>
      <c r="AE23" s="49">
        <v>3.75</v>
      </c>
      <c r="AF23" s="15" t="s">
        <v>56</v>
      </c>
    </row>
    <row r="24" spans="1:32" ht="15.75" customHeight="1">
      <c r="A24" s="21">
        <v>21</v>
      </c>
      <c r="B24" s="21">
        <v>5.7</v>
      </c>
      <c r="C24" s="21">
        <v>5.9</v>
      </c>
      <c r="D24">
        <v>6.5</v>
      </c>
      <c r="E24" s="21" t="s">
        <v>67</v>
      </c>
      <c r="F24">
        <v>7.9</v>
      </c>
      <c r="G24" s="21" t="s">
        <v>56</v>
      </c>
      <c r="H24" s="57">
        <v>9.3000000000000007</v>
      </c>
      <c r="I24" s="15" t="s">
        <v>58</v>
      </c>
      <c r="J24" s="52">
        <v>10</v>
      </c>
      <c r="K24" s="15" t="s">
        <v>58</v>
      </c>
      <c r="L24" s="35">
        <v>4.0999999999999996</v>
      </c>
      <c r="M24" s="15" t="s">
        <v>56</v>
      </c>
      <c r="N24" s="35">
        <v>4.0999999999999996</v>
      </c>
      <c r="P24" s="35">
        <v>4.8</v>
      </c>
      <c r="R24" s="35">
        <v>4.5</v>
      </c>
      <c r="S24" s="15" t="s">
        <v>56</v>
      </c>
      <c r="T24" s="35">
        <v>4.18</v>
      </c>
      <c r="U24" s="15" t="s">
        <v>56</v>
      </c>
      <c r="V24" s="53">
        <v>9999</v>
      </c>
      <c r="W24" s="15" t="s">
        <v>60</v>
      </c>
      <c r="X24" s="49">
        <v>4.16</v>
      </c>
      <c r="Y24" s="15" t="s">
        <v>56</v>
      </c>
      <c r="Z24" s="50"/>
      <c r="AA24" s="50"/>
      <c r="AB24" s="51" t="s">
        <v>124</v>
      </c>
      <c r="AC24" s="34">
        <v>3.83</v>
      </c>
      <c r="AD24" s="15" t="s">
        <v>56</v>
      </c>
      <c r="AE24" s="49">
        <v>3.86</v>
      </c>
      <c r="AF24" s="15" t="s">
        <v>56</v>
      </c>
    </row>
    <row r="25" spans="1:32" ht="15.75" customHeight="1">
      <c r="A25" s="21">
        <v>22</v>
      </c>
      <c r="B25" s="21">
        <v>5.7</v>
      </c>
      <c r="C25" s="21">
        <v>6.2</v>
      </c>
      <c r="D25">
        <v>6.7</v>
      </c>
      <c r="E25" s="21" t="s">
        <v>67</v>
      </c>
      <c r="F25">
        <v>8.1</v>
      </c>
      <c r="G25" s="21" t="s">
        <v>56</v>
      </c>
      <c r="H25" s="57">
        <v>9.9</v>
      </c>
      <c r="I25" s="15" t="s">
        <v>58</v>
      </c>
      <c r="J25" s="52">
        <v>10.9</v>
      </c>
      <c r="K25" s="15" t="s">
        <v>58</v>
      </c>
      <c r="L25" s="35">
        <v>4.2</v>
      </c>
      <c r="M25" s="15" t="s">
        <v>56</v>
      </c>
      <c r="N25" s="35">
        <v>4.0999999999999996</v>
      </c>
      <c r="P25" s="45">
        <v>14.9</v>
      </c>
      <c r="Q25" s="15" t="s">
        <v>60</v>
      </c>
      <c r="R25" s="45">
        <v>32</v>
      </c>
      <c r="S25" s="15" t="s">
        <v>60</v>
      </c>
      <c r="T25" s="35">
        <v>4.21</v>
      </c>
      <c r="U25" s="15" t="s">
        <v>56</v>
      </c>
      <c r="V25" s="34">
        <v>5.26</v>
      </c>
      <c r="W25" s="15" t="s">
        <v>56</v>
      </c>
      <c r="X25" s="49">
        <v>4.07</v>
      </c>
      <c r="Y25" s="15" t="s">
        <v>56</v>
      </c>
      <c r="Z25" s="50"/>
      <c r="AA25" s="50"/>
      <c r="AB25" s="51" t="s">
        <v>124</v>
      </c>
      <c r="AC25" s="34">
        <v>3.83</v>
      </c>
      <c r="AD25" s="15" t="s">
        <v>56</v>
      </c>
      <c r="AE25" s="49">
        <v>3.83</v>
      </c>
      <c r="AF25" s="15" t="s">
        <v>56</v>
      </c>
    </row>
    <row r="26" spans="1:32" ht="15.75" customHeight="1">
      <c r="A26" s="21">
        <v>23</v>
      </c>
      <c r="B26" s="21">
        <v>5.7</v>
      </c>
      <c r="C26" s="21">
        <v>5.6</v>
      </c>
      <c r="D26">
        <v>6</v>
      </c>
      <c r="E26" s="21" t="s">
        <v>67</v>
      </c>
      <c r="F26">
        <v>7.1</v>
      </c>
      <c r="G26" s="21" t="s">
        <v>56</v>
      </c>
      <c r="H26" s="33">
        <v>8.4</v>
      </c>
      <c r="I26" s="15" t="s">
        <v>56</v>
      </c>
      <c r="J26" s="52">
        <v>9.3000000000000007</v>
      </c>
      <c r="K26" s="15" t="s">
        <v>58</v>
      </c>
      <c r="L26" s="35">
        <v>4.4000000000000004</v>
      </c>
      <c r="M26" s="15" t="s">
        <v>56</v>
      </c>
      <c r="N26" s="35">
        <v>4.0999999999999996</v>
      </c>
      <c r="P26" s="35">
        <v>4</v>
      </c>
      <c r="R26" s="35">
        <v>4.5999999999999996</v>
      </c>
      <c r="S26" s="15" t="s">
        <v>56</v>
      </c>
      <c r="T26" s="35">
        <v>4.08</v>
      </c>
      <c r="U26" s="15" t="s">
        <v>56</v>
      </c>
      <c r="V26" s="53">
        <v>21.94</v>
      </c>
      <c r="W26" s="15" t="s">
        <v>60</v>
      </c>
      <c r="X26" s="58">
        <v>9999</v>
      </c>
      <c r="Y26" s="15" t="s">
        <v>60</v>
      </c>
      <c r="Z26" s="50"/>
      <c r="AA26" s="50"/>
      <c r="AB26" s="51" t="s">
        <v>124</v>
      </c>
      <c r="AC26" s="34">
        <v>3.73</v>
      </c>
      <c r="AD26" s="15" t="s">
        <v>56</v>
      </c>
      <c r="AE26" s="49">
        <v>3.72</v>
      </c>
      <c r="AF26" s="15" t="s">
        <v>56</v>
      </c>
    </row>
    <row r="27" spans="1:32" ht="15.75" customHeight="1">
      <c r="A27" s="21">
        <v>24</v>
      </c>
      <c r="B27" s="21">
        <v>5.6</v>
      </c>
      <c r="C27" s="21">
        <v>5.4</v>
      </c>
      <c r="D27">
        <v>6.4</v>
      </c>
      <c r="E27" s="21" t="s">
        <v>67</v>
      </c>
      <c r="F27">
        <v>7.2</v>
      </c>
      <c r="G27" s="21" t="s">
        <v>56</v>
      </c>
      <c r="H27" s="33">
        <v>8.4</v>
      </c>
      <c r="I27" s="15" t="s">
        <v>56</v>
      </c>
      <c r="J27" s="52">
        <v>9.1</v>
      </c>
      <c r="K27" s="15" t="s">
        <v>58</v>
      </c>
      <c r="L27" s="35">
        <v>5.6</v>
      </c>
      <c r="M27" s="15" t="s">
        <v>56</v>
      </c>
      <c r="N27" s="35">
        <v>4.3</v>
      </c>
      <c r="P27" s="35">
        <v>4.3</v>
      </c>
      <c r="R27" s="35">
        <v>5.2</v>
      </c>
      <c r="S27" s="15" t="s">
        <v>56</v>
      </c>
      <c r="T27" s="35">
        <v>4.38</v>
      </c>
      <c r="U27" s="15" t="s">
        <v>56</v>
      </c>
      <c r="V27" s="34">
        <v>6.85</v>
      </c>
      <c r="W27" s="15" t="s">
        <v>56</v>
      </c>
      <c r="X27" s="49">
        <v>6.3</v>
      </c>
      <c r="Y27" s="15" t="s">
        <v>56</v>
      </c>
      <c r="Z27" s="50"/>
      <c r="AA27" s="50"/>
      <c r="AB27" s="51" t="s">
        <v>124</v>
      </c>
      <c r="AC27" s="34">
        <v>7.3</v>
      </c>
      <c r="AD27" s="15" t="s">
        <v>56</v>
      </c>
      <c r="AE27" s="49">
        <v>7.06</v>
      </c>
      <c r="AF27" s="15" t="s">
        <v>56</v>
      </c>
    </row>
    <row r="28" spans="1:32" ht="15.75" customHeight="1">
      <c r="A28" s="21">
        <v>25</v>
      </c>
      <c r="B28" s="21">
        <v>5.7</v>
      </c>
      <c r="C28" s="21">
        <v>6.2</v>
      </c>
      <c r="D28">
        <v>6.6</v>
      </c>
      <c r="E28" s="21" t="s">
        <v>67</v>
      </c>
      <c r="F28">
        <v>8.3000000000000007</v>
      </c>
      <c r="G28" s="21" t="s">
        <v>56</v>
      </c>
      <c r="H28" s="33">
        <v>8.9</v>
      </c>
      <c r="I28" s="15" t="s">
        <v>56</v>
      </c>
      <c r="J28" s="52">
        <v>9.8000000000000007</v>
      </c>
      <c r="K28" s="15" t="s">
        <v>58</v>
      </c>
      <c r="L28" s="35">
        <v>5.0999999999999996</v>
      </c>
      <c r="M28" s="15" t="s">
        <v>56</v>
      </c>
      <c r="N28" s="35">
        <v>4.2</v>
      </c>
      <c r="P28" s="35">
        <v>4.3</v>
      </c>
      <c r="R28" s="35">
        <v>5.8</v>
      </c>
      <c r="S28" s="15" t="s">
        <v>56</v>
      </c>
      <c r="T28" s="35">
        <v>4.22</v>
      </c>
      <c r="U28" s="15" t="s">
        <v>56</v>
      </c>
      <c r="V28" s="53">
        <v>24.44</v>
      </c>
      <c r="W28" s="15" t="s">
        <v>60</v>
      </c>
      <c r="X28" s="49">
        <v>4.5199999999999996</v>
      </c>
      <c r="Y28" s="15" t="s">
        <v>56</v>
      </c>
      <c r="Z28" s="50"/>
      <c r="AA28" s="50"/>
      <c r="AB28" s="51" t="s">
        <v>124</v>
      </c>
      <c r="AC28" s="34">
        <v>3.65</v>
      </c>
      <c r="AD28" s="15" t="s">
        <v>56</v>
      </c>
      <c r="AE28" s="49">
        <v>3.63</v>
      </c>
      <c r="AF28" s="15" t="s">
        <v>56</v>
      </c>
    </row>
    <row r="29" spans="1:32" ht="15.75" customHeight="1">
      <c r="A29" s="21">
        <v>26</v>
      </c>
      <c r="B29" s="21">
        <v>5.7</v>
      </c>
      <c r="C29" s="21">
        <v>5.6</v>
      </c>
      <c r="D29">
        <v>6</v>
      </c>
      <c r="E29" s="21" t="s">
        <v>67</v>
      </c>
      <c r="F29">
        <v>7.8</v>
      </c>
      <c r="G29" s="21" t="s">
        <v>56</v>
      </c>
      <c r="H29" s="33">
        <v>8.4</v>
      </c>
      <c r="I29" s="15" t="s">
        <v>56</v>
      </c>
      <c r="J29" s="52">
        <v>9.1</v>
      </c>
      <c r="K29" s="15" t="s">
        <v>58</v>
      </c>
      <c r="L29" s="35">
        <v>4.0999999999999996</v>
      </c>
      <c r="M29" s="15" t="s">
        <v>56</v>
      </c>
      <c r="N29" s="35">
        <v>4</v>
      </c>
      <c r="P29" s="35">
        <v>5.4</v>
      </c>
      <c r="R29" s="35">
        <v>4</v>
      </c>
      <c r="S29" s="15" t="s">
        <v>56</v>
      </c>
      <c r="T29" s="35">
        <v>4.08</v>
      </c>
      <c r="U29" s="15" t="s">
        <v>56</v>
      </c>
      <c r="V29" s="34">
        <v>5.66</v>
      </c>
      <c r="W29" s="15" t="s">
        <v>56</v>
      </c>
      <c r="X29" s="49">
        <v>4.5599999999999996</v>
      </c>
      <c r="Y29" s="15" t="s">
        <v>56</v>
      </c>
      <c r="Z29" s="50"/>
      <c r="AA29" s="50"/>
      <c r="AB29" s="51" t="s">
        <v>124</v>
      </c>
      <c r="AC29" s="34">
        <v>3.79</v>
      </c>
      <c r="AD29" s="15" t="s">
        <v>56</v>
      </c>
      <c r="AE29" s="49">
        <v>3.85</v>
      </c>
      <c r="AF29" s="15" t="s">
        <v>56</v>
      </c>
    </row>
    <row r="30" spans="1:32" ht="15.75" customHeight="1">
      <c r="A30" s="21">
        <v>27</v>
      </c>
      <c r="B30" s="21">
        <v>5.8</v>
      </c>
      <c r="C30" s="21">
        <v>5.7</v>
      </c>
      <c r="D30">
        <v>6.2</v>
      </c>
      <c r="E30" s="21" t="s">
        <v>67</v>
      </c>
      <c r="F30">
        <v>7.6</v>
      </c>
      <c r="G30" s="21" t="s">
        <v>56</v>
      </c>
      <c r="H30" s="33">
        <v>8.5</v>
      </c>
      <c r="I30" s="15" t="s">
        <v>56</v>
      </c>
      <c r="J30" s="52">
        <v>9</v>
      </c>
      <c r="K30" s="15" t="s">
        <v>58</v>
      </c>
      <c r="L30" s="35">
        <v>4.5</v>
      </c>
      <c r="M30" s="15" t="s">
        <v>56</v>
      </c>
      <c r="N30" s="35">
        <v>4.4000000000000004</v>
      </c>
      <c r="P30" s="35">
        <v>5.8</v>
      </c>
      <c r="R30" s="35">
        <v>4</v>
      </c>
      <c r="S30" s="15" t="s">
        <v>56</v>
      </c>
      <c r="T30" s="35">
        <v>4.0199999999999996</v>
      </c>
      <c r="U30" s="15" t="s">
        <v>56</v>
      </c>
      <c r="V30" s="34">
        <v>6.08</v>
      </c>
      <c r="W30" s="15" t="s">
        <v>56</v>
      </c>
      <c r="X30" s="49">
        <v>4</v>
      </c>
      <c r="Y30" s="15" t="s">
        <v>56</v>
      </c>
      <c r="Z30" s="50"/>
      <c r="AA30" s="50"/>
      <c r="AB30" s="51" t="s">
        <v>124</v>
      </c>
      <c r="AC30" s="34">
        <v>3.84</v>
      </c>
      <c r="AD30" s="15" t="s">
        <v>56</v>
      </c>
      <c r="AE30" s="49">
        <v>3.84</v>
      </c>
      <c r="AF30" s="15" t="s">
        <v>56</v>
      </c>
    </row>
    <row r="31" spans="1:32" ht="15.75" customHeight="1">
      <c r="A31" s="21">
        <v>28</v>
      </c>
      <c r="B31" s="21">
        <v>5.9</v>
      </c>
      <c r="C31" s="21">
        <v>6</v>
      </c>
      <c r="D31">
        <v>6.5</v>
      </c>
      <c r="E31" s="21" t="s">
        <v>67</v>
      </c>
      <c r="F31">
        <v>8.6999999999999993</v>
      </c>
      <c r="G31" s="21" t="s">
        <v>56</v>
      </c>
      <c r="H31" s="57">
        <v>9.5</v>
      </c>
      <c r="I31" s="15" t="s">
        <v>58</v>
      </c>
      <c r="J31" s="52">
        <v>10.6</v>
      </c>
      <c r="K31" s="15" t="s">
        <v>58</v>
      </c>
      <c r="L31" s="35">
        <v>3.9</v>
      </c>
      <c r="M31" s="15" t="s">
        <v>56</v>
      </c>
      <c r="N31" s="35">
        <v>4</v>
      </c>
      <c r="P31" s="35">
        <v>6.6</v>
      </c>
      <c r="R31" s="35">
        <v>4</v>
      </c>
      <c r="S31" s="15" t="s">
        <v>56</v>
      </c>
      <c r="T31" s="35">
        <v>5.84</v>
      </c>
      <c r="U31" s="15" t="s">
        <v>56</v>
      </c>
      <c r="V31" s="34">
        <v>5.45</v>
      </c>
      <c r="W31" s="15" t="s">
        <v>56</v>
      </c>
      <c r="X31" s="49">
        <v>4.13</v>
      </c>
      <c r="Y31" s="15" t="s">
        <v>56</v>
      </c>
      <c r="Z31" s="50"/>
      <c r="AA31" s="50"/>
      <c r="AB31" s="51" t="s">
        <v>124</v>
      </c>
      <c r="AC31" s="34">
        <v>3.74</v>
      </c>
      <c r="AD31" s="15" t="s">
        <v>56</v>
      </c>
      <c r="AE31" s="49">
        <v>3.8</v>
      </c>
      <c r="AF31" s="15" t="s">
        <v>56</v>
      </c>
    </row>
    <row r="32" spans="1:32" ht="15.75" customHeight="1">
      <c r="A32" s="21">
        <v>29</v>
      </c>
      <c r="B32" s="21">
        <v>5.6</v>
      </c>
      <c r="C32" s="21">
        <v>6</v>
      </c>
      <c r="D32">
        <v>6.5</v>
      </c>
      <c r="E32" s="21" t="s">
        <v>67</v>
      </c>
      <c r="F32">
        <v>8.4</v>
      </c>
      <c r="G32" s="21" t="s">
        <v>56</v>
      </c>
      <c r="H32" s="57">
        <v>9.1999999999999993</v>
      </c>
      <c r="I32" s="15" t="s">
        <v>58</v>
      </c>
      <c r="J32" s="52">
        <v>10.199999999999999</v>
      </c>
      <c r="K32" s="15" t="s">
        <v>58</v>
      </c>
      <c r="L32" s="35">
        <v>4.0999999999999996</v>
      </c>
      <c r="M32" s="15" t="s">
        <v>56</v>
      </c>
      <c r="N32" s="35">
        <v>4.0999999999999996</v>
      </c>
      <c r="P32" s="35">
        <v>5.3</v>
      </c>
      <c r="R32" s="35">
        <v>4.0999999999999996</v>
      </c>
      <c r="S32" s="15" t="s">
        <v>56</v>
      </c>
      <c r="T32" s="35">
        <v>4.13</v>
      </c>
      <c r="U32" s="15" t="s">
        <v>56</v>
      </c>
      <c r="V32" s="34">
        <v>6.12</v>
      </c>
      <c r="W32" s="15" t="s">
        <v>56</v>
      </c>
      <c r="X32" s="49">
        <v>4.13</v>
      </c>
      <c r="Y32" s="15" t="s">
        <v>56</v>
      </c>
      <c r="Z32" s="50"/>
      <c r="AA32" s="50"/>
      <c r="AB32" s="51" t="s">
        <v>124</v>
      </c>
      <c r="AC32" s="34">
        <v>3.74</v>
      </c>
      <c r="AD32" s="15" t="s">
        <v>56</v>
      </c>
      <c r="AE32" s="49">
        <v>3.65</v>
      </c>
      <c r="AF32" s="15" t="s">
        <v>56</v>
      </c>
    </row>
    <row r="33" spans="1:32" ht="15.75" customHeight="1">
      <c r="A33" s="21">
        <v>30</v>
      </c>
      <c r="B33" s="21">
        <v>6</v>
      </c>
      <c r="C33" s="21">
        <v>6.7</v>
      </c>
      <c r="D33">
        <v>6.4</v>
      </c>
      <c r="E33" s="21" t="s">
        <v>67</v>
      </c>
      <c r="F33">
        <v>8.5</v>
      </c>
      <c r="G33" s="21" t="s">
        <v>56</v>
      </c>
      <c r="H33" s="57">
        <v>10</v>
      </c>
      <c r="I33" s="15" t="s">
        <v>58</v>
      </c>
      <c r="J33" s="52">
        <v>11</v>
      </c>
      <c r="K33" s="15" t="s">
        <v>58</v>
      </c>
      <c r="L33" s="35">
        <v>5</v>
      </c>
      <c r="M33" s="15" t="s">
        <v>56</v>
      </c>
      <c r="N33" s="35">
        <v>4.5999999999999996</v>
      </c>
      <c r="P33" s="35">
        <v>5.0999999999999996</v>
      </c>
      <c r="R33" s="35">
        <v>4.2</v>
      </c>
      <c r="S33" s="15" t="s">
        <v>56</v>
      </c>
      <c r="T33" s="35">
        <v>4.18</v>
      </c>
      <c r="U33" s="15" t="s">
        <v>56</v>
      </c>
      <c r="V33" s="34">
        <v>6.91</v>
      </c>
      <c r="W33" s="15" t="s">
        <v>56</v>
      </c>
      <c r="X33" s="49">
        <v>4.04</v>
      </c>
      <c r="Y33" s="15" t="s">
        <v>56</v>
      </c>
      <c r="Z33" s="50"/>
      <c r="AA33" s="50"/>
      <c r="AB33" s="51" t="s">
        <v>124</v>
      </c>
      <c r="AC33" s="34">
        <v>4.01</v>
      </c>
      <c r="AD33" s="15" t="s">
        <v>56</v>
      </c>
      <c r="AE33" s="49">
        <v>3.8</v>
      </c>
      <c r="AF33" s="15" t="s">
        <v>56</v>
      </c>
    </row>
    <row r="34" spans="1:32" ht="15.75" customHeight="1">
      <c r="A34" s="21">
        <v>31</v>
      </c>
      <c r="B34" s="21">
        <v>5.3</v>
      </c>
      <c r="C34" s="21">
        <v>6</v>
      </c>
      <c r="D34">
        <v>6.9</v>
      </c>
      <c r="E34" s="21" t="s">
        <v>67</v>
      </c>
      <c r="F34">
        <v>8.1999999999999993</v>
      </c>
      <c r="G34" s="21" t="s">
        <v>56</v>
      </c>
      <c r="H34" s="57">
        <v>9.9</v>
      </c>
      <c r="I34" s="15" t="s">
        <v>58</v>
      </c>
      <c r="J34" s="52">
        <v>10.7</v>
      </c>
      <c r="K34" s="15" t="s">
        <v>58</v>
      </c>
      <c r="L34" s="54">
        <v>10.6</v>
      </c>
      <c r="M34" s="15" t="s">
        <v>58</v>
      </c>
      <c r="N34" s="35">
        <v>3.9</v>
      </c>
      <c r="P34" s="35">
        <v>4.7</v>
      </c>
      <c r="R34" s="54">
        <v>11</v>
      </c>
      <c r="S34" s="15" t="s">
        <v>58</v>
      </c>
      <c r="T34" s="35">
        <v>3.93</v>
      </c>
      <c r="U34" s="15" t="s">
        <v>56</v>
      </c>
      <c r="V34" s="34">
        <v>5.29</v>
      </c>
      <c r="W34" s="15" t="s">
        <v>56</v>
      </c>
      <c r="X34" s="49">
        <v>4.09</v>
      </c>
      <c r="Y34" s="15" t="s">
        <v>56</v>
      </c>
      <c r="Z34" s="50"/>
      <c r="AA34" s="50"/>
      <c r="AB34" s="51" t="s">
        <v>124</v>
      </c>
      <c r="AC34" s="34">
        <v>3.76</v>
      </c>
      <c r="AD34" s="15" t="s">
        <v>56</v>
      </c>
      <c r="AE34" s="49">
        <v>3.75</v>
      </c>
      <c r="AF34" s="15" t="s">
        <v>56</v>
      </c>
    </row>
    <row r="35" spans="1:32" ht="15.75" customHeight="1">
      <c r="A35" s="21">
        <v>32</v>
      </c>
      <c r="B35" s="21">
        <v>5.7</v>
      </c>
      <c r="C35" s="21">
        <v>5.5</v>
      </c>
      <c r="D35">
        <v>5.9</v>
      </c>
      <c r="E35" s="21" t="s">
        <v>67</v>
      </c>
      <c r="F35">
        <v>7</v>
      </c>
      <c r="G35" s="21" t="s">
        <v>56</v>
      </c>
      <c r="H35" s="33">
        <v>8.4</v>
      </c>
      <c r="I35" s="15" t="s">
        <v>56</v>
      </c>
      <c r="J35" s="34">
        <v>8.6</v>
      </c>
      <c r="K35" s="15" t="s">
        <v>56</v>
      </c>
      <c r="L35" s="35">
        <v>5.4</v>
      </c>
      <c r="M35" s="15" t="s">
        <v>56</v>
      </c>
      <c r="N35" s="35">
        <v>3.9</v>
      </c>
      <c r="P35" s="35">
        <v>8.6</v>
      </c>
      <c r="R35" s="35">
        <v>3.9</v>
      </c>
      <c r="S35" s="15" t="s">
        <v>56</v>
      </c>
      <c r="T35" s="35">
        <v>4.0199999999999996</v>
      </c>
      <c r="U35" s="15" t="s">
        <v>56</v>
      </c>
      <c r="V35" s="53">
        <v>9999</v>
      </c>
      <c r="W35" s="15" t="s">
        <v>60</v>
      </c>
      <c r="X35" s="49">
        <v>4.41</v>
      </c>
      <c r="Y35" s="15" t="s">
        <v>56</v>
      </c>
      <c r="Z35" s="50"/>
      <c r="AA35" s="50"/>
      <c r="AB35" s="51" t="s">
        <v>124</v>
      </c>
      <c r="AC35" s="34">
        <v>4.34</v>
      </c>
      <c r="AD35" s="15" t="s">
        <v>56</v>
      </c>
      <c r="AE35" s="49">
        <v>3.75</v>
      </c>
      <c r="AF35" s="15" t="s">
        <v>56</v>
      </c>
    </row>
    <row r="36" spans="1:32" ht="15.75" customHeight="1">
      <c r="A36" s="21">
        <v>33</v>
      </c>
      <c r="B36" s="21">
        <v>5.4</v>
      </c>
      <c r="C36" s="21">
        <v>7</v>
      </c>
      <c r="D36">
        <v>7.9</v>
      </c>
      <c r="E36" s="21" t="s">
        <v>67</v>
      </c>
      <c r="F36" s="23">
        <v>9.8000000000000007</v>
      </c>
      <c r="G36" s="23" t="s">
        <v>58</v>
      </c>
      <c r="H36" s="59">
        <v>12</v>
      </c>
      <c r="I36" s="15" t="s">
        <v>125</v>
      </c>
      <c r="J36" s="53">
        <v>12.8</v>
      </c>
      <c r="K36" s="15" t="s">
        <v>125</v>
      </c>
      <c r="L36" s="35">
        <v>5</v>
      </c>
      <c r="M36" s="15" t="s">
        <v>56</v>
      </c>
      <c r="N36" s="35">
        <v>4</v>
      </c>
      <c r="P36" s="35">
        <v>4.0999999999999996</v>
      </c>
      <c r="R36" s="35">
        <v>4.4000000000000004</v>
      </c>
      <c r="S36" s="15" t="s">
        <v>56</v>
      </c>
      <c r="T36" s="35">
        <v>4.0999999999999996</v>
      </c>
      <c r="U36" s="15" t="s">
        <v>56</v>
      </c>
      <c r="V36" s="53">
        <v>9999</v>
      </c>
      <c r="W36" s="15" t="s">
        <v>60</v>
      </c>
      <c r="X36" s="49">
        <v>4.29</v>
      </c>
      <c r="Y36" s="15" t="s">
        <v>56</v>
      </c>
      <c r="Z36" s="50"/>
      <c r="AA36" s="50"/>
      <c r="AB36" s="51" t="s">
        <v>124</v>
      </c>
      <c r="AC36" s="34">
        <v>4</v>
      </c>
      <c r="AD36" s="15" t="s">
        <v>56</v>
      </c>
      <c r="AE36" s="49">
        <v>3.65</v>
      </c>
      <c r="AF36" s="15" t="s">
        <v>56</v>
      </c>
    </row>
    <row r="37" spans="1:32" ht="15.75" customHeight="1">
      <c r="A37" s="21">
        <v>34</v>
      </c>
      <c r="B37" s="21">
        <v>5.8</v>
      </c>
      <c r="C37" s="21">
        <v>5.4</v>
      </c>
      <c r="D37">
        <v>5.9</v>
      </c>
      <c r="E37" s="21" t="s">
        <v>67</v>
      </c>
      <c r="F37">
        <v>6.9</v>
      </c>
      <c r="G37" s="21" t="s">
        <v>56</v>
      </c>
      <c r="H37" s="33">
        <v>8.4</v>
      </c>
      <c r="I37" s="15" t="s">
        <v>56</v>
      </c>
      <c r="J37" s="34">
        <v>8.4</v>
      </c>
      <c r="K37" s="15" t="s">
        <v>56</v>
      </c>
      <c r="L37" s="35">
        <v>5</v>
      </c>
      <c r="M37" s="15" t="s">
        <v>56</v>
      </c>
      <c r="N37" s="35">
        <v>4.0999999999999996</v>
      </c>
      <c r="P37" s="35">
        <v>4.9000000000000004</v>
      </c>
      <c r="R37" s="45">
        <v>18.8</v>
      </c>
      <c r="S37" s="15" t="s">
        <v>60</v>
      </c>
      <c r="T37" s="35">
        <v>4.18</v>
      </c>
      <c r="U37" s="15" t="s">
        <v>56</v>
      </c>
      <c r="V37" s="34">
        <v>5.2</v>
      </c>
      <c r="W37" s="15" t="s">
        <v>56</v>
      </c>
      <c r="X37" s="49">
        <v>7.67</v>
      </c>
      <c r="Y37" s="15" t="s">
        <v>56</v>
      </c>
      <c r="Z37" s="50"/>
      <c r="AA37" s="50"/>
      <c r="AB37" s="51" t="s">
        <v>124</v>
      </c>
      <c r="AC37" s="34">
        <v>4.1100000000000003</v>
      </c>
      <c r="AD37" s="15" t="s">
        <v>56</v>
      </c>
      <c r="AE37" s="49">
        <v>3.99</v>
      </c>
      <c r="AF37" s="15" t="s">
        <v>56</v>
      </c>
    </row>
    <row r="38" spans="1:32" ht="15.75" customHeight="1">
      <c r="A38" s="21">
        <v>35</v>
      </c>
      <c r="B38" s="21">
        <v>5.6</v>
      </c>
      <c r="C38" s="21">
        <v>5.6</v>
      </c>
      <c r="D38">
        <v>6</v>
      </c>
      <c r="E38" s="21" t="s">
        <v>67</v>
      </c>
      <c r="F38">
        <v>7.2</v>
      </c>
      <c r="G38" s="21" t="s">
        <v>56</v>
      </c>
      <c r="H38" s="33">
        <v>8.1999999999999993</v>
      </c>
      <c r="I38" s="15" t="s">
        <v>56</v>
      </c>
      <c r="J38" s="34">
        <v>8.3000000000000007</v>
      </c>
      <c r="K38" s="15" t="s">
        <v>56</v>
      </c>
      <c r="L38" s="35">
        <v>4.5</v>
      </c>
      <c r="M38" s="15" t="s">
        <v>56</v>
      </c>
      <c r="N38" s="35">
        <v>4</v>
      </c>
      <c r="P38" s="35">
        <v>4.2</v>
      </c>
      <c r="R38" s="35">
        <v>5</v>
      </c>
      <c r="S38" s="15" t="s">
        <v>56</v>
      </c>
      <c r="T38" s="35">
        <v>4.22</v>
      </c>
      <c r="U38" s="15" t="s">
        <v>56</v>
      </c>
      <c r="V38" s="53">
        <v>9999</v>
      </c>
      <c r="W38" s="15" t="s">
        <v>60</v>
      </c>
      <c r="X38" s="49">
        <v>4.8899999999999997</v>
      </c>
      <c r="Y38" s="15" t="s">
        <v>56</v>
      </c>
      <c r="Z38" s="50"/>
      <c r="AA38" s="50"/>
      <c r="AB38" s="51" t="s">
        <v>124</v>
      </c>
      <c r="AC38" s="34">
        <v>4.0199999999999996</v>
      </c>
      <c r="AD38" s="15" t="s">
        <v>56</v>
      </c>
      <c r="AE38" s="49">
        <v>3.84</v>
      </c>
      <c r="AF38" s="15" t="s">
        <v>56</v>
      </c>
    </row>
    <row r="39" spans="1:32" ht="15.75" customHeight="1">
      <c r="A39" s="21">
        <v>36</v>
      </c>
      <c r="B39" s="21">
        <v>6</v>
      </c>
      <c r="C39" s="21">
        <v>5.7</v>
      </c>
      <c r="D39">
        <v>6.4</v>
      </c>
      <c r="E39" s="21" t="s">
        <v>67</v>
      </c>
      <c r="F39">
        <v>7.3</v>
      </c>
      <c r="G39" s="21" t="s">
        <v>56</v>
      </c>
      <c r="H39" s="33">
        <v>8.8000000000000007</v>
      </c>
      <c r="I39" s="15" t="s">
        <v>56</v>
      </c>
      <c r="J39" s="52">
        <v>9.1999999999999993</v>
      </c>
      <c r="K39" s="15" t="s">
        <v>58</v>
      </c>
      <c r="L39" s="35">
        <v>5.2</v>
      </c>
      <c r="M39" s="15" t="s">
        <v>56</v>
      </c>
      <c r="N39" s="35">
        <v>4.0999999999999996</v>
      </c>
      <c r="P39" s="35">
        <v>4.0999999999999996</v>
      </c>
      <c r="R39" s="45">
        <v>23.9</v>
      </c>
      <c r="S39" s="15" t="s">
        <v>60</v>
      </c>
      <c r="T39" s="35">
        <v>4.1100000000000003</v>
      </c>
      <c r="U39" s="15" t="s">
        <v>56</v>
      </c>
      <c r="V39" s="34">
        <v>5.0599999999999996</v>
      </c>
      <c r="W39" s="15" t="s">
        <v>56</v>
      </c>
      <c r="X39" s="58">
        <v>23.46</v>
      </c>
      <c r="Y39" s="15" t="s">
        <v>60</v>
      </c>
      <c r="Z39" s="50"/>
      <c r="AA39" s="50"/>
      <c r="AB39" s="51" t="s">
        <v>124</v>
      </c>
      <c r="AC39" s="34">
        <v>7.47</v>
      </c>
      <c r="AD39" s="15" t="s">
        <v>56</v>
      </c>
      <c r="AE39" s="49">
        <v>7.28</v>
      </c>
      <c r="AF39" s="15" t="s">
        <v>56</v>
      </c>
    </row>
    <row r="40" spans="1:32" ht="15.75" customHeight="1">
      <c r="A40" s="21">
        <v>37</v>
      </c>
      <c r="B40" s="21">
        <v>5.7</v>
      </c>
      <c r="C40" s="21">
        <v>5.3</v>
      </c>
      <c r="D40">
        <v>5.8</v>
      </c>
      <c r="E40" s="21" t="s">
        <v>67</v>
      </c>
      <c r="F40">
        <v>7</v>
      </c>
      <c r="G40" s="21" t="s">
        <v>56</v>
      </c>
      <c r="H40" s="33">
        <v>7.6</v>
      </c>
      <c r="I40" s="15" t="s">
        <v>56</v>
      </c>
      <c r="J40" s="34">
        <v>7.9</v>
      </c>
      <c r="K40" s="15" t="s">
        <v>56</v>
      </c>
      <c r="L40" s="35">
        <v>5.0999999999999996</v>
      </c>
      <c r="M40" s="15" t="s">
        <v>56</v>
      </c>
      <c r="N40" s="35">
        <v>4.2</v>
      </c>
      <c r="P40" s="35">
        <v>4</v>
      </c>
      <c r="R40" s="35">
        <v>4</v>
      </c>
      <c r="S40" s="15" t="s">
        <v>56</v>
      </c>
      <c r="T40" s="35">
        <v>4.2300000000000004</v>
      </c>
      <c r="U40" s="15" t="s">
        <v>56</v>
      </c>
      <c r="V40" s="34">
        <v>5.32</v>
      </c>
      <c r="W40" s="15" t="s">
        <v>56</v>
      </c>
      <c r="X40" s="49">
        <v>4.2</v>
      </c>
      <c r="Y40" s="15" t="s">
        <v>56</v>
      </c>
      <c r="Z40" s="50"/>
      <c r="AA40" s="50"/>
      <c r="AB40" s="51" t="s">
        <v>124</v>
      </c>
      <c r="AC40" s="34">
        <v>3.79</v>
      </c>
      <c r="AD40" s="15" t="s">
        <v>56</v>
      </c>
      <c r="AE40" s="49">
        <v>3.66</v>
      </c>
      <c r="AF40" s="15" t="s">
        <v>56</v>
      </c>
    </row>
    <row r="41" spans="1:32" ht="15.75" customHeight="1">
      <c r="A41" s="21">
        <v>38</v>
      </c>
      <c r="B41" s="21">
        <v>5.6</v>
      </c>
      <c r="C41" s="21">
        <v>5.8</v>
      </c>
      <c r="D41">
        <v>6.4</v>
      </c>
      <c r="E41" s="21" t="s">
        <v>67</v>
      </c>
      <c r="F41">
        <v>7.8</v>
      </c>
      <c r="G41" s="21" t="s">
        <v>56</v>
      </c>
      <c r="H41" s="57">
        <v>9.6999999999999993</v>
      </c>
      <c r="I41" s="15" t="s">
        <v>58</v>
      </c>
      <c r="J41" s="52">
        <v>10.1</v>
      </c>
      <c r="K41" s="15" t="s">
        <v>58</v>
      </c>
      <c r="L41" s="35">
        <v>5.5</v>
      </c>
      <c r="M41" s="15" t="s">
        <v>56</v>
      </c>
      <c r="N41" s="35">
        <v>3.9</v>
      </c>
      <c r="P41" s="35">
        <v>4</v>
      </c>
      <c r="R41" s="35">
        <v>3.9</v>
      </c>
      <c r="S41" s="15" t="s">
        <v>56</v>
      </c>
      <c r="T41" s="35">
        <v>4.03</v>
      </c>
      <c r="U41" s="15" t="s">
        <v>56</v>
      </c>
      <c r="V41" s="34">
        <v>6.33</v>
      </c>
      <c r="W41" s="15" t="s">
        <v>56</v>
      </c>
      <c r="X41" s="58">
        <v>26.5</v>
      </c>
      <c r="Y41" s="15" t="s">
        <v>60</v>
      </c>
      <c r="Z41" s="50"/>
      <c r="AA41" s="50"/>
      <c r="AB41" s="51" t="s">
        <v>124</v>
      </c>
      <c r="AC41" s="34">
        <v>3.88</v>
      </c>
      <c r="AD41" s="15" t="s">
        <v>56</v>
      </c>
      <c r="AE41" s="49">
        <v>3.84</v>
      </c>
      <c r="AF41" s="15" t="s">
        <v>56</v>
      </c>
    </row>
    <row r="42" spans="1:32" ht="15.75" customHeight="1">
      <c r="A42" s="21">
        <v>39</v>
      </c>
      <c r="B42" s="21">
        <v>5.3</v>
      </c>
      <c r="C42" s="21">
        <v>7.1</v>
      </c>
      <c r="D42">
        <v>7.1</v>
      </c>
      <c r="E42" s="21" t="s">
        <v>67</v>
      </c>
      <c r="F42" s="23">
        <v>9.1999999999999993</v>
      </c>
      <c r="G42" s="23" t="s">
        <v>58</v>
      </c>
      <c r="H42" s="57">
        <v>10.3</v>
      </c>
      <c r="I42" s="15" t="s">
        <v>58</v>
      </c>
      <c r="J42" s="52">
        <v>11.1</v>
      </c>
      <c r="K42" s="15" t="s">
        <v>58</v>
      </c>
      <c r="L42" s="35">
        <v>4</v>
      </c>
      <c r="M42" s="15" t="s">
        <v>56</v>
      </c>
      <c r="N42" s="35">
        <v>4</v>
      </c>
      <c r="P42" s="35">
        <v>3.9</v>
      </c>
      <c r="R42" s="35">
        <v>4.2</v>
      </c>
      <c r="S42" s="15" t="s">
        <v>56</v>
      </c>
      <c r="T42" s="35">
        <v>4.0599999999999996</v>
      </c>
      <c r="U42" s="15" t="s">
        <v>56</v>
      </c>
      <c r="V42" s="53">
        <v>26.11</v>
      </c>
      <c r="W42" s="15" t="s">
        <v>60</v>
      </c>
      <c r="X42" s="49">
        <v>4.2699999999999996</v>
      </c>
      <c r="Y42" s="15" t="s">
        <v>56</v>
      </c>
      <c r="Z42" s="50"/>
      <c r="AA42" s="50"/>
      <c r="AB42" s="51" t="s">
        <v>124</v>
      </c>
      <c r="AC42" s="34">
        <v>4.09</v>
      </c>
      <c r="AD42" s="15" t="s">
        <v>56</v>
      </c>
      <c r="AE42" s="49">
        <v>4</v>
      </c>
      <c r="AF42" s="15" t="s">
        <v>56</v>
      </c>
    </row>
    <row r="43" spans="1:32" ht="15.75" customHeight="1">
      <c r="A43" s="21">
        <v>40</v>
      </c>
      <c r="B43" s="21">
        <v>5.9</v>
      </c>
      <c r="C43" s="21">
        <v>5.6</v>
      </c>
      <c r="D43">
        <v>6.2</v>
      </c>
      <c r="E43" s="21" t="s">
        <v>67</v>
      </c>
      <c r="F43">
        <v>7</v>
      </c>
      <c r="G43" s="21" t="s">
        <v>56</v>
      </c>
      <c r="H43" s="33">
        <v>8.5</v>
      </c>
      <c r="I43" s="15" t="s">
        <v>56</v>
      </c>
      <c r="J43" s="34">
        <v>8.5</v>
      </c>
      <c r="K43" s="15" t="s">
        <v>56</v>
      </c>
      <c r="L43" s="35">
        <v>4</v>
      </c>
      <c r="M43" s="15" t="s">
        <v>56</v>
      </c>
      <c r="N43" s="35">
        <v>3.9</v>
      </c>
      <c r="P43" s="35">
        <v>4.3</v>
      </c>
      <c r="R43" s="35">
        <v>4.0999999999999996</v>
      </c>
      <c r="S43" s="15" t="s">
        <v>56</v>
      </c>
      <c r="T43" s="35">
        <v>4.1100000000000003</v>
      </c>
      <c r="U43" s="15" t="s">
        <v>56</v>
      </c>
      <c r="V43" s="53">
        <v>9999</v>
      </c>
      <c r="W43" s="15" t="s">
        <v>60</v>
      </c>
      <c r="X43" s="49">
        <v>4.2699999999999996</v>
      </c>
      <c r="Y43" s="15" t="s">
        <v>56</v>
      </c>
      <c r="Z43" s="50"/>
      <c r="AA43" s="50"/>
      <c r="AB43" s="51" t="s">
        <v>124</v>
      </c>
      <c r="AC43" s="34">
        <v>3.79</v>
      </c>
      <c r="AD43" s="15" t="s">
        <v>56</v>
      </c>
      <c r="AE43" s="49">
        <v>3.79</v>
      </c>
      <c r="AF43" s="15" t="s">
        <v>56</v>
      </c>
    </row>
    <row r="44" spans="1:32" ht="15.75" customHeight="1">
      <c r="A44" s="21">
        <v>41</v>
      </c>
      <c r="B44" s="21">
        <v>5.4</v>
      </c>
      <c r="C44" s="21">
        <v>5.8</v>
      </c>
      <c r="D44">
        <v>6.5</v>
      </c>
      <c r="E44" s="21" t="s">
        <v>67</v>
      </c>
      <c r="F44">
        <v>8.4</v>
      </c>
      <c r="G44" s="21" t="s">
        <v>56</v>
      </c>
      <c r="H44" s="57">
        <v>9.8000000000000007</v>
      </c>
      <c r="I44" s="15" t="s">
        <v>58</v>
      </c>
      <c r="J44" s="52">
        <v>10.8</v>
      </c>
      <c r="K44" s="15" t="s">
        <v>58</v>
      </c>
      <c r="L44" s="35">
        <v>8.6999999999999993</v>
      </c>
      <c r="M44" s="15" t="s">
        <v>56</v>
      </c>
      <c r="N44" s="35">
        <v>4</v>
      </c>
      <c r="P44" s="35">
        <v>5.7</v>
      </c>
      <c r="R44" s="35">
        <v>5.2</v>
      </c>
      <c r="S44" s="15" t="s">
        <v>56</v>
      </c>
      <c r="T44" s="35">
        <v>4.0999999999999996</v>
      </c>
      <c r="U44" s="15" t="s">
        <v>56</v>
      </c>
      <c r="V44" s="53">
        <v>9999</v>
      </c>
      <c r="W44" s="15" t="s">
        <v>60</v>
      </c>
      <c r="X44" s="49">
        <v>4.13</v>
      </c>
      <c r="Y44" s="15" t="s">
        <v>56</v>
      </c>
      <c r="Z44" s="50"/>
      <c r="AA44" s="50"/>
      <c r="AB44" s="51" t="s">
        <v>124</v>
      </c>
      <c r="AC44" s="34">
        <v>3.9</v>
      </c>
      <c r="AD44" s="15" t="s">
        <v>56</v>
      </c>
      <c r="AE44" s="49">
        <v>3.84</v>
      </c>
      <c r="AF44" s="15" t="s">
        <v>56</v>
      </c>
    </row>
    <row r="45" spans="1:32" ht="15.75" customHeight="1">
      <c r="A45" s="21">
        <v>42</v>
      </c>
      <c r="B45" s="21">
        <v>5.4</v>
      </c>
      <c r="C45" s="21">
        <v>5.2</v>
      </c>
      <c r="D45">
        <v>5.9</v>
      </c>
      <c r="E45" s="21" t="s">
        <v>67</v>
      </c>
      <c r="F45">
        <v>7.3</v>
      </c>
      <c r="G45" s="21" t="s">
        <v>56</v>
      </c>
      <c r="H45" s="33">
        <v>8.8000000000000007</v>
      </c>
      <c r="I45" s="15" t="s">
        <v>56</v>
      </c>
      <c r="J45" s="52">
        <v>9.6</v>
      </c>
      <c r="K45" s="15" t="s">
        <v>58</v>
      </c>
      <c r="L45" s="35">
        <v>5.2</v>
      </c>
      <c r="M45" s="15" t="s">
        <v>56</v>
      </c>
      <c r="N45" s="35">
        <v>4.0999999999999996</v>
      </c>
      <c r="P45" s="35">
        <v>5.8</v>
      </c>
      <c r="R45" s="35">
        <v>6.6</v>
      </c>
      <c r="S45" s="15" t="s">
        <v>56</v>
      </c>
      <c r="T45" s="35">
        <v>5.1100000000000003</v>
      </c>
      <c r="U45" s="15" t="s">
        <v>56</v>
      </c>
      <c r="V45" s="34">
        <v>5.81</v>
      </c>
      <c r="W45" s="15" t="s">
        <v>56</v>
      </c>
      <c r="X45" s="49">
        <v>4.03</v>
      </c>
      <c r="Y45" s="15" t="s">
        <v>56</v>
      </c>
      <c r="Z45" s="50"/>
      <c r="AA45" s="50"/>
      <c r="AB45" s="51" t="s">
        <v>124</v>
      </c>
      <c r="AC45" s="34">
        <v>3.94</v>
      </c>
      <c r="AD45" s="15" t="s">
        <v>56</v>
      </c>
      <c r="AE45" s="49">
        <v>3.88</v>
      </c>
      <c r="AF45" s="15" t="s">
        <v>56</v>
      </c>
    </row>
    <row r="46" spans="1:32" ht="15.75" customHeight="1">
      <c r="A46" s="21">
        <v>43</v>
      </c>
      <c r="B46" s="21">
        <v>5.6</v>
      </c>
      <c r="C46" s="21">
        <v>6.1</v>
      </c>
      <c r="D46">
        <v>6.7</v>
      </c>
      <c r="E46" s="21" t="s">
        <v>67</v>
      </c>
      <c r="F46" s="23">
        <v>9.1</v>
      </c>
      <c r="G46" s="23" t="s">
        <v>58</v>
      </c>
      <c r="H46" s="57">
        <v>10.7</v>
      </c>
      <c r="I46" s="15" t="s">
        <v>58</v>
      </c>
      <c r="J46" s="52">
        <v>12.3</v>
      </c>
      <c r="K46" s="15" t="s">
        <v>58</v>
      </c>
      <c r="L46" s="35">
        <v>5.0999999999999996</v>
      </c>
      <c r="M46" s="15" t="s">
        <v>56</v>
      </c>
      <c r="N46" s="35">
        <v>5.2</v>
      </c>
      <c r="P46" s="35">
        <v>6</v>
      </c>
      <c r="R46" s="35">
        <v>5.0999999999999996</v>
      </c>
      <c r="S46" s="15" t="s">
        <v>56</v>
      </c>
      <c r="T46" s="35">
        <v>4.12</v>
      </c>
      <c r="U46" s="15" t="s">
        <v>56</v>
      </c>
      <c r="V46" s="34">
        <v>5.18</v>
      </c>
      <c r="W46" s="15" t="s">
        <v>56</v>
      </c>
      <c r="X46" s="49">
        <v>4.1900000000000004</v>
      </c>
      <c r="Y46" s="15" t="s">
        <v>56</v>
      </c>
      <c r="Z46" s="50"/>
      <c r="AA46" s="50"/>
      <c r="AB46" s="51" t="s">
        <v>124</v>
      </c>
      <c r="AC46" s="34">
        <v>3.82</v>
      </c>
      <c r="AD46" s="15" t="s">
        <v>56</v>
      </c>
      <c r="AE46" s="49">
        <v>3.74</v>
      </c>
      <c r="AF46" s="15" t="s">
        <v>56</v>
      </c>
    </row>
    <row r="47" spans="1:32" ht="15.75" customHeight="1">
      <c r="A47" s="21">
        <v>44</v>
      </c>
      <c r="B47" s="21">
        <v>5.6</v>
      </c>
      <c r="C47" s="21">
        <v>5.7</v>
      </c>
      <c r="D47">
        <v>5.9</v>
      </c>
      <c r="E47" s="21" t="s">
        <v>67</v>
      </c>
      <c r="F47">
        <v>7.2</v>
      </c>
      <c r="G47" s="21" t="s">
        <v>56</v>
      </c>
      <c r="H47" s="33">
        <v>8.3000000000000007</v>
      </c>
      <c r="I47" s="15" t="s">
        <v>56</v>
      </c>
      <c r="J47" s="34">
        <v>8.6999999999999993</v>
      </c>
      <c r="K47" s="15" t="s">
        <v>56</v>
      </c>
      <c r="L47" s="35">
        <v>6</v>
      </c>
      <c r="M47" s="15" t="s">
        <v>56</v>
      </c>
      <c r="N47" s="35">
        <v>7.2</v>
      </c>
      <c r="P47" s="35">
        <v>5.4</v>
      </c>
      <c r="R47" s="35">
        <v>5.7</v>
      </c>
      <c r="S47" s="15" t="s">
        <v>56</v>
      </c>
      <c r="T47" s="35">
        <v>3.99</v>
      </c>
      <c r="U47" s="15" t="s">
        <v>56</v>
      </c>
      <c r="V47" s="34">
        <v>6.91</v>
      </c>
      <c r="W47" s="15" t="s">
        <v>56</v>
      </c>
      <c r="X47" s="49">
        <v>7.89</v>
      </c>
      <c r="Y47" s="15" t="s">
        <v>56</v>
      </c>
      <c r="Z47" s="50"/>
      <c r="AA47" s="50"/>
      <c r="AB47" s="51" t="s">
        <v>124</v>
      </c>
      <c r="AC47" s="34">
        <v>4.08</v>
      </c>
      <c r="AD47" s="15" t="s">
        <v>56</v>
      </c>
      <c r="AE47" s="49">
        <v>4.04</v>
      </c>
      <c r="AF47" s="15" t="s">
        <v>56</v>
      </c>
    </row>
    <row r="48" spans="1:32" ht="15.75" customHeight="1">
      <c r="A48" s="21">
        <v>45</v>
      </c>
      <c r="B48" s="21">
        <v>5.7</v>
      </c>
      <c r="C48" s="21">
        <v>6.2</v>
      </c>
      <c r="D48">
        <v>6.5</v>
      </c>
      <c r="E48" s="21" t="s">
        <v>67</v>
      </c>
      <c r="F48">
        <v>8.5</v>
      </c>
      <c r="G48" s="21" t="s">
        <v>56</v>
      </c>
      <c r="H48" s="57">
        <v>9.5</v>
      </c>
      <c r="I48" s="15" t="s">
        <v>58</v>
      </c>
      <c r="J48" s="52">
        <v>10.6</v>
      </c>
      <c r="K48" s="15" t="s">
        <v>58</v>
      </c>
      <c r="L48" s="35">
        <v>5</v>
      </c>
      <c r="M48" s="15" t="s">
        <v>56</v>
      </c>
      <c r="N48" s="35">
        <v>4</v>
      </c>
      <c r="P48" s="35">
        <v>3.7</v>
      </c>
      <c r="R48" s="45">
        <v>66.7</v>
      </c>
      <c r="S48" s="15" t="s">
        <v>60</v>
      </c>
      <c r="T48" s="35">
        <v>4.12</v>
      </c>
      <c r="U48" s="15" t="s">
        <v>56</v>
      </c>
      <c r="V48" s="34">
        <v>5.68</v>
      </c>
      <c r="W48" s="15" t="s">
        <v>56</v>
      </c>
      <c r="X48" s="49">
        <v>4.46</v>
      </c>
      <c r="Y48" s="15" t="s">
        <v>56</v>
      </c>
      <c r="Z48" s="50"/>
      <c r="AA48" s="50"/>
      <c r="AB48" s="51" t="s">
        <v>124</v>
      </c>
      <c r="AC48" s="34">
        <v>4.55</v>
      </c>
      <c r="AD48" s="15" t="s">
        <v>56</v>
      </c>
      <c r="AE48" s="49">
        <v>4.0599999999999996</v>
      </c>
      <c r="AF48" s="15" t="s">
        <v>56</v>
      </c>
    </row>
    <row r="49" spans="1:32" ht="15.75" customHeight="1">
      <c r="A49" s="21">
        <v>46</v>
      </c>
      <c r="B49" s="21">
        <v>5.6</v>
      </c>
      <c r="C49" s="21">
        <v>5.6</v>
      </c>
      <c r="D49">
        <v>6.3</v>
      </c>
      <c r="E49" s="21" t="s">
        <v>67</v>
      </c>
      <c r="F49">
        <v>7.4</v>
      </c>
      <c r="G49" s="21" t="s">
        <v>56</v>
      </c>
      <c r="H49" s="57">
        <v>9.1999999999999993</v>
      </c>
      <c r="I49" s="15" t="s">
        <v>58</v>
      </c>
      <c r="J49" s="52">
        <v>9.6</v>
      </c>
      <c r="K49" s="15" t="s">
        <v>58</v>
      </c>
      <c r="L49" s="35">
        <v>4.0999999999999996</v>
      </c>
      <c r="M49" s="15" t="s">
        <v>56</v>
      </c>
      <c r="N49" s="35">
        <v>3.6</v>
      </c>
      <c r="P49" s="35">
        <v>4</v>
      </c>
      <c r="R49" s="35">
        <v>5.8</v>
      </c>
      <c r="S49" s="15" t="s">
        <v>56</v>
      </c>
      <c r="T49" s="35">
        <v>4.01</v>
      </c>
      <c r="U49" s="15" t="s">
        <v>56</v>
      </c>
      <c r="V49" s="34">
        <v>6.92</v>
      </c>
      <c r="W49" s="15" t="s">
        <v>56</v>
      </c>
      <c r="X49" s="49">
        <v>6.25</v>
      </c>
      <c r="Y49" s="15" t="s">
        <v>56</v>
      </c>
      <c r="Z49" s="50"/>
      <c r="AA49" s="50"/>
      <c r="AB49" s="51" t="s">
        <v>124</v>
      </c>
      <c r="AC49" s="34">
        <v>4.7699999999999996</v>
      </c>
      <c r="AD49" s="15" t="s">
        <v>56</v>
      </c>
      <c r="AE49" s="49">
        <v>4.01</v>
      </c>
      <c r="AF49" s="15" t="s">
        <v>56</v>
      </c>
    </row>
    <row r="50" spans="1:32" ht="15.75" customHeight="1">
      <c r="A50" s="21">
        <v>47</v>
      </c>
      <c r="B50" s="21">
        <v>5.8</v>
      </c>
      <c r="C50" s="21">
        <v>5.5</v>
      </c>
      <c r="D50">
        <v>6.1</v>
      </c>
      <c r="E50" s="21" t="s">
        <v>67</v>
      </c>
      <c r="F50">
        <v>7</v>
      </c>
      <c r="G50" s="21" t="s">
        <v>56</v>
      </c>
      <c r="H50" s="33">
        <v>8.5</v>
      </c>
      <c r="I50" s="15" t="s">
        <v>56</v>
      </c>
      <c r="J50" s="52">
        <v>9.1999999999999993</v>
      </c>
      <c r="K50" s="15" t="s">
        <v>58</v>
      </c>
      <c r="L50" s="35">
        <v>5</v>
      </c>
      <c r="M50" s="15" t="s">
        <v>56</v>
      </c>
      <c r="N50" s="35">
        <v>5.8</v>
      </c>
      <c r="P50" s="35">
        <v>4.0999999999999996</v>
      </c>
      <c r="R50" s="35">
        <v>5.9</v>
      </c>
      <c r="S50" s="15" t="s">
        <v>56</v>
      </c>
      <c r="T50" s="35">
        <v>4.09</v>
      </c>
      <c r="U50" s="15" t="s">
        <v>56</v>
      </c>
      <c r="V50" s="34">
        <v>5.8</v>
      </c>
      <c r="W50" s="15" t="s">
        <v>56</v>
      </c>
      <c r="X50" s="58">
        <v>9999</v>
      </c>
      <c r="Y50" s="15" t="s">
        <v>60</v>
      </c>
      <c r="Z50" s="50"/>
      <c r="AA50" s="50"/>
      <c r="AB50" s="51" t="s">
        <v>124</v>
      </c>
      <c r="AC50" s="34">
        <v>4.17</v>
      </c>
      <c r="AD50" s="15" t="s">
        <v>56</v>
      </c>
      <c r="AE50" s="49">
        <v>4.84</v>
      </c>
      <c r="AF50" s="15" t="s">
        <v>56</v>
      </c>
    </row>
    <row r="51" spans="1:32" ht="15.75" customHeight="1">
      <c r="A51" s="21">
        <v>48</v>
      </c>
      <c r="B51" s="21">
        <v>5.6</v>
      </c>
      <c r="C51" s="21">
        <v>5.2</v>
      </c>
      <c r="D51">
        <v>6</v>
      </c>
      <c r="E51" s="21" t="s">
        <v>67</v>
      </c>
      <c r="F51">
        <v>6.9</v>
      </c>
      <c r="G51" s="21" t="s">
        <v>56</v>
      </c>
      <c r="H51" s="33">
        <v>8.5</v>
      </c>
      <c r="I51" s="15" t="s">
        <v>56</v>
      </c>
      <c r="J51" s="52">
        <v>9.4</v>
      </c>
      <c r="K51" s="15" t="s">
        <v>58</v>
      </c>
      <c r="L51" s="35">
        <v>4.5</v>
      </c>
      <c r="M51" s="15" t="s">
        <v>56</v>
      </c>
      <c r="N51" s="35">
        <v>3.9</v>
      </c>
      <c r="P51" s="35">
        <v>4</v>
      </c>
      <c r="R51" s="45">
        <v>28.4</v>
      </c>
      <c r="S51" s="15" t="s">
        <v>60</v>
      </c>
      <c r="T51" s="35">
        <v>4.0999999999999996</v>
      </c>
      <c r="U51" s="15" t="s">
        <v>56</v>
      </c>
      <c r="V51" s="53">
        <v>9999</v>
      </c>
      <c r="W51" s="15" t="s">
        <v>60</v>
      </c>
      <c r="X51" s="49">
        <v>4.2300000000000004</v>
      </c>
      <c r="Y51" s="15" t="s">
        <v>56</v>
      </c>
      <c r="Z51" s="50"/>
      <c r="AA51" s="50"/>
      <c r="AB51" s="51" t="s">
        <v>124</v>
      </c>
      <c r="AC51" s="34">
        <v>4.8</v>
      </c>
      <c r="AD51" s="15" t="s">
        <v>56</v>
      </c>
      <c r="AE51" s="49">
        <v>4.21</v>
      </c>
      <c r="AF51" s="15" t="s">
        <v>56</v>
      </c>
    </row>
    <row r="52" spans="1:32" ht="15.75" customHeight="1">
      <c r="A52" s="21">
        <v>49</v>
      </c>
      <c r="B52" s="21">
        <v>5.5</v>
      </c>
      <c r="C52" s="21">
        <v>5.9</v>
      </c>
      <c r="D52">
        <v>6.4</v>
      </c>
      <c r="E52" s="21" t="s">
        <v>67</v>
      </c>
      <c r="F52">
        <v>7.5</v>
      </c>
      <c r="G52" s="21" t="s">
        <v>56</v>
      </c>
      <c r="H52" s="57">
        <v>9.3000000000000007</v>
      </c>
      <c r="I52" s="15" t="s">
        <v>58</v>
      </c>
      <c r="J52" s="52">
        <v>10.1</v>
      </c>
      <c r="K52" s="15" t="s">
        <v>58</v>
      </c>
      <c r="L52" s="35">
        <v>4.7</v>
      </c>
      <c r="M52" s="15" t="s">
        <v>56</v>
      </c>
      <c r="N52" s="35">
        <v>3.9</v>
      </c>
      <c r="P52" s="35">
        <v>3.9</v>
      </c>
      <c r="R52" s="35">
        <v>5.8</v>
      </c>
      <c r="S52" s="15" t="s">
        <v>56</v>
      </c>
      <c r="T52" s="35">
        <v>6.93</v>
      </c>
      <c r="U52" s="15" t="s">
        <v>56</v>
      </c>
      <c r="V52" s="34">
        <v>6.4</v>
      </c>
      <c r="W52" s="15" t="s">
        <v>56</v>
      </c>
      <c r="X52" s="49">
        <v>4.08</v>
      </c>
      <c r="Y52" s="15" t="s">
        <v>56</v>
      </c>
      <c r="Z52" s="50"/>
      <c r="AA52" s="50"/>
      <c r="AB52" s="51" t="s">
        <v>124</v>
      </c>
      <c r="AC52" s="34">
        <v>4.4000000000000004</v>
      </c>
      <c r="AD52" s="15" t="s">
        <v>56</v>
      </c>
      <c r="AE52" s="49">
        <v>4</v>
      </c>
      <c r="AF52" s="15" t="s">
        <v>56</v>
      </c>
    </row>
    <row r="53" spans="1:32" ht="15.75" customHeight="1">
      <c r="A53" s="21">
        <v>50</v>
      </c>
      <c r="B53" s="21">
        <v>6.2</v>
      </c>
      <c r="C53" s="21">
        <v>5.3</v>
      </c>
      <c r="D53">
        <v>5.9</v>
      </c>
      <c r="E53" s="21" t="s">
        <v>67</v>
      </c>
      <c r="F53">
        <v>7.1</v>
      </c>
      <c r="G53" s="21" t="s">
        <v>56</v>
      </c>
      <c r="H53" s="33">
        <v>8.6999999999999993</v>
      </c>
      <c r="I53" s="15" t="s">
        <v>56</v>
      </c>
      <c r="J53" s="52">
        <v>9.4</v>
      </c>
      <c r="K53" s="15" t="s">
        <v>58</v>
      </c>
      <c r="L53" s="35">
        <v>6.8</v>
      </c>
      <c r="M53" s="15" t="s">
        <v>56</v>
      </c>
      <c r="N53" s="35">
        <v>5.2</v>
      </c>
      <c r="P53" s="35">
        <v>4.3</v>
      </c>
      <c r="R53" s="45">
        <v>16.3</v>
      </c>
      <c r="S53" s="15" t="s">
        <v>60</v>
      </c>
      <c r="T53" s="35">
        <v>5.76</v>
      </c>
      <c r="U53" s="15" t="s">
        <v>56</v>
      </c>
      <c r="V53" s="53">
        <v>9999</v>
      </c>
      <c r="W53" s="15" t="s">
        <v>60</v>
      </c>
      <c r="X53" s="49">
        <v>4.26</v>
      </c>
      <c r="Y53" s="15" t="s">
        <v>56</v>
      </c>
      <c r="Z53" s="50"/>
      <c r="AA53" s="50"/>
      <c r="AB53" s="51" t="s">
        <v>124</v>
      </c>
      <c r="AC53" s="34">
        <v>4.8499999999999996</v>
      </c>
      <c r="AD53" s="15" t="s">
        <v>56</v>
      </c>
      <c r="AE53" s="49">
        <v>3.75</v>
      </c>
      <c r="AF53" s="15" t="s">
        <v>56</v>
      </c>
    </row>
    <row r="54" spans="1:32" ht="15.75" customHeight="1">
      <c r="A54" s="21">
        <v>51</v>
      </c>
      <c r="B54" s="21">
        <v>5.5</v>
      </c>
      <c r="C54" s="21">
        <v>6.3</v>
      </c>
      <c r="D54">
        <v>7.1</v>
      </c>
      <c r="E54" s="21" t="s">
        <v>67</v>
      </c>
      <c r="F54" s="23">
        <v>9.1999999999999993</v>
      </c>
      <c r="G54" s="23" t="s">
        <v>58</v>
      </c>
      <c r="H54" s="57">
        <v>11</v>
      </c>
      <c r="I54" s="15" t="s">
        <v>58</v>
      </c>
      <c r="J54" s="53">
        <v>12.4</v>
      </c>
      <c r="K54" s="15" t="s">
        <v>125</v>
      </c>
      <c r="L54" s="35">
        <v>5.7</v>
      </c>
      <c r="M54" s="15" t="s">
        <v>56</v>
      </c>
      <c r="N54" s="35">
        <v>6.5</v>
      </c>
      <c r="P54" s="35">
        <v>4</v>
      </c>
      <c r="R54" s="35">
        <v>4.0999999999999996</v>
      </c>
      <c r="S54" s="15" t="s">
        <v>56</v>
      </c>
      <c r="T54" s="35">
        <v>4.0999999999999996</v>
      </c>
      <c r="U54" s="15" t="s">
        <v>56</v>
      </c>
      <c r="V54" s="53">
        <v>12.24</v>
      </c>
      <c r="W54" s="15" t="s">
        <v>60</v>
      </c>
      <c r="X54" s="49">
        <v>4.25</v>
      </c>
      <c r="Y54" s="15" t="s">
        <v>56</v>
      </c>
      <c r="Z54" s="50"/>
      <c r="AA54" s="50"/>
      <c r="AB54" s="51" t="s">
        <v>124</v>
      </c>
      <c r="AC54" s="34">
        <v>4.07</v>
      </c>
      <c r="AD54" s="15" t="s">
        <v>56</v>
      </c>
      <c r="AE54" s="49">
        <v>3.6</v>
      </c>
      <c r="AF54" s="15" t="s">
        <v>56</v>
      </c>
    </row>
    <row r="55" spans="1:32" ht="15.75" customHeight="1">
      <c r="A55" s="21">
        <v>52</v>
      </c>
      <c r="B55" s="21">
        <v>5.8</v>
      </c>
      <c r="C55" s="21">
        <v>5.7</v>
      </c>
      <c r="D55">
        <v>6.3</v>
      </c>
      <c r="E55" s="21" t="s">
        <v>67</v>
      </c>
      <c r="F55">
        <v>8</v>
      </c>
      <c r="G55" s="21" t="s">
        <v>56</v>
      </c>
      <c r="H55" s="57">
        <v>9.6</v>
      </c>
      <c r="I55" s="15" t="s">
        <v>58</v>
      </c>
      <c r="J55" s="52">
        <v>10.1</v>
      </c>
      <c r="K55" s="15" t="s">
        <v>58</v>
      </c>
      <c r="L55" s="35">
        <v>5.7</v>
      </c>
      <c r="M55" s="15" t="s">
        <v>56</v>
      </c>
      <c r="N55" s="35">
        <v>7.3</v>
      </c>
      <c r="P55" s="35">
        <v>4.4000000000000004</v>
      </c>
      <c r="R55" s="35">
        <v>4</v>
      </c>
      <c r="S55" s="15" t="s">
        <v>56</v>
      </c>
      <c r="T55" s="55"/>
      <c r="U55" s="15" t="s">
        <v>106</v>
      </c>
      <c r="V55" s="53">
        <v>9999</v>
      </c>
      <c r="W55" s="15" t="s">
        <v>60</v>
      </c>
      <c r="X55" s="49">
        <v>4.16</v>
      </c>
      <c r="Y55" s="15" t="s">
        <v>56</v>
      </c>
      <c r="Z55" s="50"/>
      <c r="AA55" s="50"/>
      <c r="AB55" s="51" t="s">
        <v>124</v>
      </c>
      <c r="AC55" s="34">
        <v>4.99</v>
      </c>
      <c r="AD55" s="15" t="s">
        <v>56</v>
      </c>
      <c r="AE55" s="49">
        <v>3.93</v>
      </c>
      <c r="AF55" s="15" t="s">
        <v>56</v>
      </c>
    </row>
    <row r="56" spans="1:32" ht="15.75" customHeight="1">
      <c r="A56" s="21">
        <v>53</v>
      </c>
      <c r="B56" s="21">
        <v>5.5</v>
      </c>
      <c r="C56" s="21">
        <v>6</v>
      </c>
      <c r="D56">
        <v>6.6</v>
      </c>
      <c r="E56" s="21" t="s">
        <v>67</v>
      </c>
      <c r="F56">
        <v>8.4</v>
      </c>
      <c r="G56" s="21" t="s">
        <v>56</v>
      </c>
      <c r="H56" s="57">
        <v>10.1</v>
      </c>
      <c r="I56" s="15" t="s">
        <v>58</v>
      </c>
      <c r="J56" s="52">
        <v>10.7</v>
      </c>
      <c r="K56" s="15" t="s">
        <v>58</v>
      </c>
      <c r="L56" s="35">
        <v>4</v>
      </c>
      <c r="M56" s="15" t="s">
        <v>56</v>
      </c>
      <c r="N56" s="35">
        <v>4</v>
      </c>
      <c r="P56" s="35">
        <v>4.3</v>
      </c>
      <c r="R56" s="35">
        <v>4</v>
      </c>
      <c r="S56" s="15" t="s">
        <v>56</v>
      </c>
      <c r="T56" s="35">
        <v>4.08</v>
      </c>
      <c r="U56" s="15" t="s">
        <v>56</v>
      </c>
      <c r="V56" s="34">
        <v>5.58</v>
      </c>
      <c r="W56" s="15" t="s">
        <v>56</v>
      </c>
      <c r="X56" s="49">
        <v>6.27</v>
      </c>
      <c r="Y56" s="15" t="s">
        <v>56</v>
      </c>
      <c r="Z56" s="50"/>
      <c r="AA56" s="50"/>
      <c r="AB56" s="51" t="s">
        <v>124</v>
      </c>
      <c r="AC56" s="34">
        <v>5.44</v>
      </c>
      <c r="AD56" s="15" t="s">
        <v>56</v>
      </c>
      <c r="AE56" s="49">
        <v>3.99</v>
      </c>
      <c r="AF56" s="15" t="s">
        <v>56</v>
      </c>
    </row>
    <row r="57" spans="1:32" ht="15.75" customHeight="1">
      <c r="A57" s="21">
        <v>54</v>
      </c>
      <c r="B57" s="21">
        <v>5.6</v>
      </c>
      <c r="C57" s="21">
        <v>5.4</v>
      </c>
      <c r="D57">
        <v>5.9</v>
      </c>
      <c r="E57" s="21" t="s">
        <v>67</v>
      </c>
      <c r="F57">
        <v>7</v>
      </c>
      <c r="G57" s="21" t="s">
        <v>56</v>
      </c>
      <c r="H57" s="33">
        <v>8.3000000000000007</v>
      </c>
      <c r="I57" s="15" t="s">
        <v>56</v>
      </c>
      <c r="J57" s="52">
        <v>9.1999999999999993</v>
      </c>
      <c r="K57" s="15" t="s">
        <v>58</v>
      </c>
      <c r="L57" s="35">
        <v>4</v>
      </c>
      <c r="M57" s="15" t="s">
        <v>56</v>
      </c>
      <c r="N57" s="35">
        <v>4</v>
      </c>
      <c r="P57" s="35">
        <v>4.5</v>
      </c>
      <c r="R57" s="35">
        <v>4.0999999999999996</v>
      </c>
      <c r="S57" s="15" t="s">
        <v>56</v>
      </c>
      <c r="T57" s="35">
        <v>4.1399999999999997</v>
      </c>
      <c r="U57" s="15" t="s">
        <v>56</v>
      </c>
      <c r="V57" s="34">
        <v>8.27</v>
      </c>
      <c r="W57" s="15" t="s">
        <v>56</v>
      </c>
      <c r="X57" s="49">
        <v>5.27</v>
      </c>
      <c r="Y57" s="15" t="s">
        <v>56</v>
      </c>
      <c r="Z57" s="50"/>
      <c r="AA57" s="50"/>
      <c r="AB57" s="51" t="s">
        <v>124</v>
      </c>
      <c r="AC57" s="34">
        <v>5.1100000000000003</v>
      </c>
      <c r="AD57" s="15" t="s">
        <v>56</v>
      </c>
      <c r="AE57" s="49">
        <v>3.96</v>
      </c>
      <c r="AF57" s="15" t="s">
        <v>56</v>
      </c>
    </row>
    <row r="58" spans="1:32" ht="15.75" customHeight="1">
      <c r="A58" s="21">
        <v>55</v>
      </c>
      <c r="B58" s="21">
        <v>5.9</v>
      </c>
      <c r="C58" s="21">
        <v>6</v>
      </c>
      <c r="D58">
        <v>6.7</v>
      </c>
      <c r="E58" s="21" t="s">
        <v>67</v>
      </c>
      <c r="F58">
        <v>8.6999999999999993</v>
      </c>
      <c r="G58" s="21" t="s">
        <v>56</v>
      </c>
      <c r="H58" s="59" t="s">
        <v>126</v>
      </c>
      <c r="I58" s="15" t="s">
        <v>125</v>
      </c>
      <c r="J58" s="53">
        <v>9999</v>
      </c>
      <c r="K58" s="15" t="s">
        <v>125</v>
      </c>
      <c r="L58" s="35">
        <v>5.3</v>
      </c>
      <c r="M58" s="15" t="s">
        <v>56</v>
      </c>
      <c r="N58" s="35">
        <v>4</v>
      </c>
      <c r="P58" s="35">
        <v>4.2</v>
      </c>
      <c r="R58" s="35">
        <v>4.2</v>
      </c>
      <c r="S58" s="15" t="s">
        <v>56</v>
      </c>
      <c r="T58" s="35">
        <v>4.1100000000000003</v>
      </c>
      <c r="U58" s="15" t="s">
        <v>56</v>
      </c>
      <c r="V58" s="53">
        <v>21.22</v>
      </c>
      <c r="W58" s="15" t="s">
        <v>60</v>
      </c>
      <c r="X58" s="49">
        <v>5.43</v>
      </c>
      <c r="Y58" s="15" t="s">
        <v>56</v>
      </c>
      <c r="Z58" s="50"/>
      <c r="AA58" s="50"/>
      <c r="AB58" s="51" t="s">
        <v>124</v>
      </c>
      <c r="AC58" s="34">
        <v>4.62</v>
      </c>
      <c r="AD58" s="15" t="s">
        <v>56</v>
      </c>
      <c r="AE58" s="49">
        <v>3.98</v>
      </c>
      <c r="AF58" s="15" t="s">
        <v>56</v>
      </c>
    </row>
    <row r="59" spans="1:32" ht="15.75" customHeight="1">
      <c r="A59" s="21">
        <v>56</v>
      </c>
      <c r="B59" s="21">
        <v>5.3</v>
      </c>
      <c r="C59" s="21">
        <v>6.1</v>
      </c>
      <c r="D59">
        <v>6.7</v>
      </c>
      <c r="E59" s="21" t="s">
        <v>67</v>
      </c>
      <c r="F59">
        <v>8.3000000000000007</v>
      </c>
      <c r="G59" s="21" t="s">
        <v>56</v>
      </c>
      <c r="H59" s="57">
        <v>9.1999999999999993</v>
      </c>
      <c r="I59" s="15" t="s">
        <v>58</v>
      </c>
      <c r="J59" s="52">
        <v>10.5</v>
      </c>
      <c r="K59" s="15" t="s">
        <v>58</v>
      </c>
      <c r="L59" s="35">
        <v>6.3</v>
      </c>
      <c r="M59" s="15" t="s">
        <v>56</v>
      </c>
      <c r="N59" s="35">
        <v>7.2</v>
      </c>
      <c r="P59" s="35">
        <v>4</v>
      </c>
      <c r="R59" s="45">
        <v>19.100000000000001</v>
      </c>
      <c r="S59" s="15" t="s">
        <v>60</v>
      </c>
      <c r="T59" s="35">
        <v>4.18</v>
      </c>
      <c r="U59" s="15" t="s">
        <v>56</v>
      </c>
      <c r="V59" s="53">
        <v>9999</v>
      </c>
      <c r="W59" s="15" t="s">
        <v>60</v>
      </c>
      <c r="X59" s="49">
        <v>4.04</v>
      </c>
      <c r="Y59" s="15" t="s">
        <v>56</v>
      </c>
      <c r="Z59" s="50"/>
      <c r="AA59" s="50"/>
      <c r="AB59" s="51" t="s">
        <v>124</v>
      </c>
      <c r="AC59" s="34">
        <v>4.32</v>
      </c>
      <c r="AD59" s="15" t="s">
        <v>56</v>
      </c>
      <c r="AE59" s="49">
        <v>4.01</v>
      </c>
      <c r="AF59" s="15" t="s">
        <v>56</v>
      </c>
    </row>
    <row r="60" spans="1:32" ht="15.75" customHeight="1">
      <c r="A60" s="21">
        <v>57</v>
      </c>
      <c r="B60" s="21">
        <v>5.4</v>
      </c>
      <c r="C60" s="21">
        <v>6.3</v>
      </c>
      <c r="D60">
        <v>7</v>
      </c>
      <c r="E60" s="21" t="s">
        <v>67</v>
      </c>
      <c r="F60">
        <v>8.4</v>
      </c>
      <c r="G60" s="21" t="s">
        <v>56</v>
      </c>
      <c r="H60" s="57">
        <v>10</v>
      </c>
      <c r="I60" s="15" t="s">
        <v>58</v>
      </c>
      <c r="J60" s="52">
        <v>11.4</v>
      </c>
      <c r="K60" s="15" t="s">
        <v>58</v>
      </c>
      <c r="L60" s="35">
        <v>7.3</v>
      </c>
      <c r="M60" s="15" t="s">
        <v>56</v>
      </c>
      <c r="N60" s="35">
        <v>3.9</v>
      </c>
      <c r="P60" s="35">
        <v>4.2</v>
      </c>
      <c r="R60" s="35">
        <v>7.3</v>
      </c>
      <c r="S60" s="15" t="s">
        <v>56</v>
      </c>
      <c r="T60" s="35">
        <v>4.38</v>
      </c>
      <c r="U60" s="15" t="s">
        <v>56</v>
      </c>
      <c r="V60" s="53">
        <v>9999</v>
      </c>
      <c r="W60" s="15" t="s">
        <v>60</v>
      </c>
      <c r="X60" s="58">
        <v>9999</v>
      </c>
      <c r="Y60" s="15" t="s">
        <v>60</v>
      </c>
      <c r="Z60" s="50"/>
      <c r="AA60" s="50"/>
      <c r="AB60" s="51" t="s">
        <v>124</v>
      </c>
      <c r="AC60" s="34">
        <v>4.2300000000000004</v>
      </c>
      <c r="AD60" s="15" t="s">
        <v>56</v>
      </c>
      <c r="AE60" s="49">
        <v>3.75</v>
      </c>
      <c r="AF60" s="15" t="s">
        <v>56</v>
      </c>
    </row>
    <row r="61" spans="1:32" ht="15.75" customHeight="1">
      <c r="A61" s="21">
        <v>58</v>
      </c>
      <c r="B61" s="21">
        <v>5.9</v>
      </c>
      <c r="C61" s="21">
        <v>6.1</v>
      </c>
      <c r="D61">
        <v>6.7</v>
      </c>
      <c r="E61" s="21" t="s">
        <v>67</v>
      </c>
      <c r="F61">
        <v>8.5</v>
      </c>
      <c r="G61" s="21" t="s">
        <v>56</v>
      </c>
      <c r="H61" s="57">
        <v>9.6999999999999993</v>
      </c>
      <c r="I61" s="15" t="s">
        <v>58</v>
      </c>
      <c r="J61" s="52">
        <v>11.5</v>
      </c>
      <c r="K61" s="15" t="s">
        <v>58</v>
      </c>
      <c r="L61" s="35">
        <v>4.9000000000000004</v>
      </c>
      <c r="M61" s="15" t="s">
        <v>56</v>
      </c>
      <c r="N61" s="35">
        <v>3.9</v>
      </c>
      <c r="P61" s="35">
        <v>4.2</v>
      </c>
      <c r="R61" s="54">
        <v>11.9</v>
      </c>
      <c r="S61" s="15" t="s">
        <v>58</v>
      </c>
      <c r="T61" s="35">
        <v>4.07</v>
      </c>
      <c r="U61" s="15" t="s">
        <v>56</v>
      </c>
      <c r="V61" s="34">
        <v>5.79</v>
      </c>
      <c r="W61" s="15" t="s">
        <v>56</v>
      </c>
      <c r="X61" s="49">
        <v>5.29</v>
      </c>
      <c r="Y61" s="15" t="s">
        <v>56</v>
      </c>
      <c r="AC61" s="34">
        <v>3.88</v>
      </c>
      <c r="AD61" s="15" t="s">
        <v>56</v>
      </c>
      <c r="AE61" s="49">
        <v>3.63</v>
      </c>
      <c r="AF61" s="15" t="s">
        <v>56</v>
      </c>
    </row>
    <row r="62" spans="1:32" ht="15.75" customHeight="1">
      <c r="A62" s="21">
        <v>59</v>
      </c>
      <c r="B62" s="21">
        <v>5.3</v>
      </c>
      <c r="C62" s="21">
        <v>5.9</v>
      </c>
      <c r="D62">
        <v>6.6</v>
      </c>
      <c r="E62" s="21" t="s">
        <v>67</v>
      </c>
      <c r="F62">
        <v>8.4</v>
      </c>
      <c r="G62" s="21" t="s">
        <v>56</v>
      </c>
      <c r="H62" s="57">
        <v>10.7</v>
      </c>
      <c r="I62" s="15" t="s">
        <v>58</v>
      </c>
      <c r="J62" s="52">
        <v>10.4</v>
      </c>
      <c r="K62" s="15" t="s">
        <v>58</v>
      </c>
      <c r="L62" s="35">
        <v>4.9000000000000004</v>
      </c>
      <c r="M62" s="15" t="s">
        <v>56</v>
      </c>
      <c r="N62" s="35">
        <v>5.3</v>
      </c>
      <c r="P62" s="35">
        <v>4</v>
      </c>
      <c r="R62" s="45">
        <v>83</v>
      </c>
      <c r="S62" s="15" t="s">
        <v>60</v>
      </c>
      <c r="T62" s="35">
        <v>4</v>
      </c>
      <c r="U62" s="15" t="s">
        <v>56</v>
      </c>
      <c r="V62" s="34">
        <v>6.65</v>
      </c>
      <c r="W62" s="15" t="s">
        <v>56</v>
      </c>
      <c r="X62" s="49">
        <v>4.1399999999999997</v>
      </c>
      <c r="Y62" s="15" t="s">
        <v>56</v>
      </c>
      <c r="AC62" s="34">
        <v>3.79</v>
      </c>
      <c r="AD62" s="15" t="s">
        <v>56</v>
      </c>
      <c r="AE62" s="49">
        <v>3.7</v>
      </c>
      <c r="AF62" s="15" t="s">
        <v>56</v>
      </c>
    </row>
    <row r="63" spans="1:32" ht="15.75" customHeight="1">
      <c r="A63" s="21">
        <v>60</v>
      </c>
      <c r="B63" s="21">
        <v>5.6</v>
      </c>
      <c r="C63" s="21">
        <v>5.7</v>
      </c>
      <c r="D63">
        <v>6.4</v>
      </c>
      <c r="E63" s="21" t="s">
        <v>67</v>
      </c>
      <c r="F63">
        <v>8.5</v>
      </c>
      <c r="G63" s="21" t="s">
        <v>56</v>
      </c>
      <c r="H63" s="57">
        <v>10.8</v>
      </c>
      <c r="I63" s="15" t="s">
        <v>58</v>
      </c>
      <c r="J63" s="52">
        <v>9.6</v>
      </c>
      <c r="K63" s="15" t="s">
        <v>58</v>
      </c>
      <c r="L63" s="35">
        <v>6.2</v>
      </c>
      <c r="M63" s="15" t="s">
        <v>56</v>
      </c>
      <c r="N63" s="35">
        <v>7.2</v>
      </c>
      <c r="P63" s="35">
        <v>3.7</v>
      </c>
      <c r="R63" s="45">
        <v>20.399999999999999</v>
      </c>
      <c r="S63" s="15" t="s">
        <v>60</v>
      </c>
      <c r="T63" s="35">
        <v>4.03</v>
      </c>
      <c r="U63" s="15" t="s">
        <v>56</v>
      </c>
      <c r="V63" s="53">
        <v>9999</v>
      </c>
      <c r="W63" s="15" t="s">
        <v>60</v>
      </c>
      <c r="X63" s="49">
        <v>4.1900000000000004</v>
      </c>
      <c r="Y63" s="15" t="s">
        <v>56</v>
      </c>
      <c r="AC63" s="34">
        <v>5.26</v>
      </c>
      <c r="AD63" s="15" t="s">
        <v>56</v>
      </c>
      <c r="AE63" s="49">
        <v>3.77</v>
      </c>
      <c r="AF63" s="15" t="s">
        <v>56</v>
      </c>
    </row>
    <row r="64" spans="1:32" ht="15.75" customHeight="1">
      <c r="A64" s="21">
        <v>61</v>
      </c>
      <c r="B64" s="21">
        <v>5.6</v>
      </c>
      <c r="C64" s="21">
        <v>5.4</v>
      </c>
      <c r="D64">
        <v>6.1</v>
      </c>
      <c r="E64" s="21" t="s">
        <v>67</v>
      </c>
      <c r="F64">
        <v>7.5</v>
      </c>
      <c r="G64" s="21" t="s">
        <v>56</v>
      </c>
      <c r="H64" s="57">
        <v>10</v>
      </c>
      <c r="I64" s="15" t="s">
        <v>58</v>
      </c>
      <c r="J64" s="34">
        <v>8.6</v>
      </c>
      <c r="K64" s="15" t="s">
        <v>56</v>
      </c>
      <c r="L64" s="35">
        <v>4.7</v>
      </c>
      <c r="M64" s="15" t="s">
        <v>56</v>
      </c>
      <c r="N64" s="35">
        <v>4</v>
      </c>
      <c r="P64" s="35">
        <v>4.7</v>
      </c>
      <c r="R64" s="35">
        <v>4.0999999999999996</v>
      </c>
      <c r="S64" s="15" t="s">
        <v>56</v>
      </c>
      <c r="T64" s="35">
        <v>4.03</v>
      </c>
      <c r="U64" s="15" t="s">
        <v>56</v>
      </c>
      <c r="V64" s="34">
        <v>5.19</v>
      </c>
      <c r="W64" s="15" t="s">
        <v>56</v>
      </c>
      <c r="X64" s="58">
        <v>28.12</v>
      </c>
      <c r="Y64" s="15" t="s">
        <v>60</v>
      </c>
      <c r="AC64" s="34">
        <v>5.79</v>
      </c>
      <c r="AD64" s="15" t="s">
        <v>56</v>
      </c>
      <c r="AE64" s="49">
        <v>4.09</v>
      </c>
      <c r="AF64" s="15" t="s">
        <v>56</v>
      </c>
    </row>
    <row r="65" spans="1:32" ht="15.75" customHeight="1">
      <c r="A65" s="21">
        <v>62</v>
      </c>
      <c r="B65" s="21">
        <v>5.2</v>
      </c>
      <c r="C65" s="21">
        <v>5.9</v>
      </c>
      <c r="D65">
        <v>6.4</v>
      </c>
      <c r="E65" s="21" t="s">
        <v>67</v>
      </c>
      <c r="F65">
        <v>8.1</v>
      </c>
      <c r="G65" s="21" t="s">
        <v>56</v>
      </c>
      <c r="H65" s="33">
        <v>8.3000000000000007</v>
      </c>
      <c r="I65" s="15" t="s">
        <v>56</v>
      </c>
      <c r="J65" s="52">
        <v>9.5</v>
      </c>
      <c r="K65" s="15" t="s">
        <v>58</v>
      </c>
      <c r="L65" s="35">
        <v>5.0999999999999996</v>
      </c>
      <c r="M65" s="15" t="s">
        <v>56</v>
      </c>
      <c r="N65" s="35">
        <v>4</v>
      </c>
      <c r="P65" s="35">
        <v>4.4000000000000004</v>
      </c>
      <c r="R65" s="35">
        <v>3.9</v>
      </c>
      <c r="S65" s="15" t="s">
        <v>56</v>
      </c>
      <c r="T65" s="35">
        <v>4.42</v>
      </c>
      <c r="U65" s="15" t="s">
        <v>56</v>
      </c>
      <c r="V65" s="34">
        <v>5.61</v>
      </c>
      <c r="W65" s="15" t="s">
        <v>56</v>
      </c>
      <c r="X65" s="49">
        <v>4.3</v>
      </c>
      <c r="Y65" s="15" t="s">
        <v>56</v>
      </c>
      <c r="AC65" s="34">
        <v>4.41</v>
      </c>
      <c r="AD65" s="15" t="s">
        <v>56</v>
      </c>
      <c r="AE65" s="49">
        <v>4.5199999999999996</v>
      </c>
      <c r="AF65" s="15" t="s">
        <v>56</v>
      </c>
    </row>
    <row r="66" spans="1:32" ht="15.75" customHeight="1">
      <c r="A66" s="21">
        <v>63</v>
      </c>
      <c r="B66" s="21">
        <v>5.7</v>
      </c>
      <c r="C66" s="21">
        <v>5.4</v>
      </c>
      <c r="D66">
        <v>6.1</v>
      </c>
      <c r="E66" s="21" t="s">
        <v>67</v>
      </c>
      <c r="F66">
        <v>7.4</v>
      </c>
      <c r="G66" s="21" t="s">
        <v>56</v>
      </c>
      <c r="H66" s="33">
        <v>8.5</v>
      </c>
      <c r="I66" s="15" t="s">
        <v>56</v>
      </c>
      <c r="J66" s="34">
        <v>8.6999999999999993</v>
      </c>
      <c r="K66" s="15" t="s">
        <v>56</v>
      </c>
      <c r="L66" s="35">
        <v>4.3</v>
      </c>
      <c r="M66" s="15" t="s">
        <v>56</v>
      </c>
      <c r="N66" s="35">
        <v>3.9</v>
      </c>
      <c r="P66" s="35">
        <v>4</v>
      </c>
      <c r="R66" s="35">
        <v>3.9</v>
      </c>
      <c r="S66" s="15" t="s">
        <v>56</v>
      </c>
      <c r="T66" s="35">
        <v>5.65</v>
      </c>
      <c r="U66" s="15" t="s">
        <v>56</v>
      </c>
      <c r="V66" s="34">
        <v>5.74</v>
      </c>
      <c r="W66" s="15" t="s">
        <v>56</v>
      </c>
      <c r="X66" s="49">
        <v>4.0199999999999996</v>
      </c>
      <c r="Y66" s="15" t="s">
        <v>56</v>
      </c>
      <c r="AC66" s="34">
        <v>4.2699999999999996</v>
      </c>
      <c r="AD66" s="15" t="s">
        <v>56</v>
      </c>
      <c r="AE66" s="49">
        <v>4.22</v>
      </c>
      <c r="AF66" s="15" t="s">
        <v>56</v>
      </c>
    </row>
    <row r="67" spans="1:32" ht="15.75" customHeight="1">
      <c r="A67" s="21">
        <v>64</v>
      </c>
      <c r="B67" s="21">
        <v>5.0999999999999996</v>
      </c>
      <c r="C67" s="21">
        <v>5.8</v>
      </c>
      <c r="D67">
        <v>6.4</v>
      </c>
      <c r="E67" s="21" t="s">
        <v>67</v>
      </c>
      <c r="F67">
        <v>8.1999999999999993</v>
      </c>
      <c r="G67" s="21" t="s">
        <v>56</v>
      </c>
      <c r="H67" s="33">
        <v>8.4</v>
      </c>
      <c r="I67" s="15" t="s">
        <v>56</v>
      </c>
      <c r="J67" s="52">
        <v>9.6</v>
      </c>
      <c r="K67" s="15" t="s">
        <v>58</v>
      </c>
      <c r="L67" s="35">
        <v>4.8</v>
      </c>
      <c r="M67" s="15" t="s">
        <v>56</v>
      </c>
      <c r="N67" s="35">
        <v>3.9</v>
      </c>
      <c r="P67" s="35">
        <v>4.0999999999999996</v>
      </c>
      <c r="R67" s="35">
        <v>3.9</v>
      </c>
      <c r="S67" s="15" t="s">
        <v>56</v>
      </c>
      <c r="T67" s="35">
        <v>5.33</v>
      </c>
      <c r="U67" s="15" t="s">
        <v>56</v>
      </c>
      <c r="V67" s="34">
        <v>5.17</v>
      </c>
      <c r="W67" s="15" t="s">
        <v>56</v>
      </c>
      <c r="X67" s="58">
        <v>17.72</v>
      </c>
      <c r="Y67" s="15" t="s">
        <v>60</v>
      </c>
      <c r="AC67" s="34">
        <v>4.18</v>
      </c>
      <c r="AD67" s="15" t="s">
        <v>56</v>
      </c>
      <c r="AE67" s="49">
        <v>4.17</v>
      </c>
      <c r="AF67" s="15" t="s">
        <v>56</v>
      </c>
    </row>
    <row r="68" spans="1:32" ht="15.75" customHeight="1">
      <c r="A68" s="21">
        <v>65</v>
      </c>
      <c r="B68" s="21">
        <v>5</v>
      </c>
      <c r="C68" s="21">
        <v>5.4</v>
      </c>
      <c r="D68">
        <v>5.9</v>
      </c>
      <c r="E68" s="21" t="s">
        <v>67</v>
      </c>
      <c r="F68">
        <v>7.3</v>
      </c>
      <c r="G68" s="21" t="s">
        <v>56</v>
      </c>
      <c r="H68" s="57">
        <v>9.1</v>
      </c>
      <c r="I68" s="15" t="s">
        <v>58</v>
      </c>
      <c r="J68" s="34">
        <v>8.6999999999999993</v>
      </c>
      <c r="K68" s="15" t="s">
        <v>56</v>
      </c>
      <c r="L68" s="35">
        <v>4</v>
      </c>
      <c r="M68" s="15" t="s">
        <v>56</v>
      </c>
      <c r="N68" s="35">
        <v>3.9</v>
      </c>
      <c r="P68" s="35">
        <v>4.3</v>
      </c>
      <c r="R68" s="35">
        <v>3.8</v>
      </c>
      <c r="S68" s="15" t="s">
        <v>56</v>
      </c>
      <c r="T68" s="55"/>
      <c r="U68" s="15" t="s">
        <v>106</v>
      </c>
      <c r="V68" s="53">
        <v>9999</v>
      </c>
      <c r="W68" s="15" t="s">
        <v>60</v>
      </c>
      <c r="X68" s="49">
        <v>5.08</v>
      </c>
      <c r="Y68" s="15" t="s">
        <v>56</v>
      </c>
      <c r="AC68" s="34">
        <v>4.21</v>
      </c>
      <c r="AD68" s="15" t="s">
        <v>56</v>
      </c>
      <c r="AE68" s="49">
        <v>4.17</v>
      </c>
      <c r="AF68" s="15" t="s">
        <v>56</v>
      </c>
    </row>
    <row r="69" spans="1:32" ht="15.75" customHeight="1">
      <c r="A69" s="21">
        <v>66</v>
      </c>
      <c r="B69" s="21">
        <v>5.5</v>
      </c>
      <c r="C69" s="21">
        <v>7</v>
      </c>
      <c r="D69">
        <v>7.5</v>
      </c>
      <c r="E69" s="21" t="s">
        <v>67</v>
      </c>
      <c r="F69" s="23">
        <v>9.6999999999999993</v>
      </c>
      <c r="G69" s="23" t="s">
        <v>58</v>
      </c>
      <c r="H69" s="33">
        <v>8.3000000000000007</v>
      </c>
      <c r="I69" s="15" t="s">
        <v>56</v>
      </c>
      <c r="J69" s="53">
        <v>12.8</v>
      </c>
      <c r="K69" s="15" t="s">
        <v>125</v>
      </c>
      <c r="L69" s="35">
        <v>8.3000000000000007</v>
      </c>
      <c r="M69" s="15" t="s">
        <v>56</v>
      </c>
      <c r="N69" s="35">
        <v>3.9</v>
      </c>
      <c r="P69" s="35">
        <v>7.4</v>
      </c>
      <c r="R69" s="35">
        <v>3.8</v>
      </c>
      <c r="S69" s="15" t="s">
        <v>56</v>
      </c>
      <c r="T69" s="35">
        <v>3.96</v>
      </c>
      <c r="U69" s="15" t="s">
        <v>56</v>
      </c>
      <c r="V69" s="53">
        <v>9999</v>
      </c>
      <c r="W69" s="15" t="s">
        <v>60</v>
      </c>
      <c r="X69" s="49">
        <v>7.18</v>
      </c>
      <c r="Y69" s="15" t="s">
        <v>56</v>
      </c>
      <c r="AC69" s="34">
        <v>4.91</v>
      </c>
      <c r="AD69" s="15" t="s">
        <v>56</v>
      </c>
      <c r="AE69" s="49">
        <v>4.08</v>
      </c>
      <c r="AF69" s="15" t="s">
        <v>56</v>
      </c>
    </row>
    <row r="70" spans="1:32" ht="15.75" customHeight="1">
      <c r="A70" s="21">
        <v>67</v>
      </c>
      <c r="B70" s="21">
        <v>6.1</v>
      </c>
      <c r="C70" s="21">
        <v>5.2</v>
      </c>
      <c r="D70">
        <v>5.9</v>
      </c>
      <c r="E70" s="21" t="s">
        <v>67</v>
      </c>
      <c r="F70">
        <v>7.5</v>
      </c>
      <c r="G70" s="21" t="s">
        <v>56</v>
      </c>
      <c r="H70" s="57">
        <v>11.3</v>
      </c>
      <c r="I70" s="15" t="s">
        <v>58</v>
      </c>
      <c r="J70" s="34">
        <v>8.4</v>
      </c>
      <c r="K70" s="15" t="s">
        <v>56</v>
      </c>
      <c r="L70" s="35">
        <v>6.8</v>
      </c>
      <c r="M70" s="15" t="s">
        <v>56</v>
      </c>
      <c r="N70" s="35">
        <v>7.8</v>
      </c>
      <c r="P70" s="35">
        <v>4.3</v>
      </c>
      <c r="R70" s="35">
        <v>4.5</v>
      </c>
      <c r="S70" s="15" t="s">
        <v>56</v>
      </c>
      <c r="T70" s="35">
        <v>4.09</v>
      </c>
      <c r="U70" s="15" t="s">
        <v>56</v>
      </c>
      <c r="V70" s="34">
        <v>7.4</v>
      </c>
      <c r="W70" s="15" t="s">
        <v>56</v>
      </c>
      <c r="X70" s="49">
        <v>5.21</v>
      </c>
      <c r="Y70" s="15" t="s">
        <v>56</v>
      </c>
      <c r="AC70" s="34">
        <v>4.43</v>
      </c>
      <c r="AD70" s="15" t="s">
        <v>56</v>
      </c>
      <c r="AE70" s="49">
        <v>4.16</v>
      </c>
      <c r="AF70" s="15" t="s">
        <v>56</v>
      </c>
    </row>
    <row r="71" spans="1:32" ht="15.75" customHeight="1">
      <c r="A71" s="21">
        <v>68</v>
      </c>
      <c r="B71" s="21">
        <v>5.6</v>
      </c>
      <c r="C71" s="21">
        <v>6.3</v>
      </c>
      <c r="D71">
        <v>7.1</v>
      </c>
      <c r="E71" s="21" t="s">
        <v>67</v>
      </c>
      <c r="F71" s="23">
        <v>9.6</v>
      </c>
      <c r="G71" s="23" t="s">
        <v>58</v>
      </c>
      <c r="H71" s="33">
        <v>8.1999999999999993</v>
      </c>
      <c r="I71" s="15" t="s">
        <v>56</v>
      </c>
      <c r="J71" s="52">
        <v>11.1</v>
      </c>
      <c r="K71" s="15" t="s">
        <v>58</v>
      </c>
      <c r="L71" s="35">
        <v>4.2</v>
      </c>
      <c r="M71" s="15" t="s">
        <v>56</v>
      </c>
      <c r="N71" s="35">
        <v>4</v>
      </c>
      <c r="P71" s="35">
        <v>4.0999999999999996</v>
      </c>
      <c r="R71" s="35">
        <v>5.3</v>
      </c>
      <c r="S71" s="15" t="s">
        <v>56</v>
      </c>
      <c r="T71" s="35">
        <v>4.17</v>
      </c>
      <c r="U71" s="15" t="s">
        <v>56</v>
      </c>
      <c r="V71" s="34">
        <v>5.46</v>
      </c>
      <c r="W71" s="15" t="s">
        <v>56</v>
      </c>
      <c r="X71" s="49">
        <v>4.38</v>
      </c>
      <c r="Y71" s="15" t="s">
        <v>56</v>
      </c>
      <c r="AC71" s="34">
        <v>4.38</v>
      </c>
      <c r="AD71" s="15" t="s">
        <v>56</v>
      </c>
      <c r="AE71" s="49">
        <v>4.16</v>
      </c>
      <c r="AF71" s="15" t="s">
        <v>56</v>
      </c>
    </row>
    <row r="72" spans="1:32" ht="15.75" customHeight="1">
      <c r="A72" s="21">
        <v>69</v>
      </c>
      <c r="B72" s="21">
        <v>5.0999999999999996</v>
      </c>
      <c r="C72" s="21">
        <v>6.6</v>
      </c>
      <c r="D72">
        <v>6.8</v>
      </c>
      <c r="E72" s="21" t="s">
        <v>67</v>
      </c>
      <c r="F72">
        <v>8.8000000000000007</v>
      </c>
      <c r="G72" s="21" t="s">
        <v>56</v>
      </c>
      <c r="H72" s="57">
        <v>9.9</v>
      </c>
      <c r="I72" s="15" t="s">
        <v>58</v>
      </c>
      <c r="J72" s="52">
        <v>10.4</v>
      </c>
      <c r="K72" s="15" t="s">
        <v>58</v>
      </c>
      <c r="L72" s="35">
        <v>4.3</v>
      </c>
      <c r="M72" s="15" t="s">
        <v>56</v>
      </c>
      <c r="N72" s="35">
        <v>3.9</v>
      </c>
      <c r="P72" s="35">
        <v>3.9</v>
      </c>
      <c r="R72" s="35">
        <v>3.8</v>
      </c>
      <c r="S72" s="15" t="s">
        <v>56</v>
      </c>
      <c r="T72" s="35">
        <v>4.05</v>
      </c>
      <c r="U72" s="15" t="s">
        <v>56</v>
      </c>
      <c r="V72" s="34">
        <v>4.12</v>
      </c>
      <c r="W72" s="15" t="s">
        <v>56</v>
      </c>
      <c r="X72" s="58">
        <v>24.54</v>
      </c>
      <c r="Y72" s="15" t="s">
        <v>60</v>
      </c>
      <c r="AC72" s="34">
        <v>4.46</v>
      </c>
      <c r="AD72" s="15" t="s">
        <v>56</v>
      </c>
      <c r="AE72" s="49">
        <v>4.38</v>
      </c>
      <c r="AF72" s="15" t="s">
        <v>56</v>
      </c>
    </row>
    <row r="73" spans="1:32" ht="15.75" customHeight="1">
      <c r="A73" s="21">
        <v>70</v>
      </c>
      <c r="B73" s="21">
        <v>5.5</v>
      </c>
      <c r="C73" s="21">
        <v>6.8</v>
      </c>
      <c r="D73">
        <v>7</v>
      </c>
      <c r="E73" s="21" t="s">
        <v>67</v>
      </c>
      <c r="F73" s="23">
        <v>9.3000000000000007</v>
      </c>
      <c r="G73" s="23" t="s">
        <v>58</v>
      </c>
      <c r="H73" s="57">
        <v>9.6999999999999993</v>
      </c>
      <c r="I73" s="15" t="s">
        <v>58</v>
      </c>
      <c r="J73" s="52">
        <v>10.4</v>
      </c>
      <c r="K73" s="15" t="s">
        <v>58</v>
      </c>
      <c r="L73" s="35">
        <v>5</v>
      </c>
      <c r="M73" s="15" t="s">
        <v>56</v>
      </c>
      <c r="N73" s="35">
        <v>3.9</v>
      </c>
      <c r="P73" s="35">
        <v>3.4</v>
      </c>
      <c r="R73" s="35">
        <v>3.7</v>
      </c>
      <c r="S73" s="15" t="s">
        <v>56</v>
      </c>
      <c r="T73" s="35">
        <v>4.08</v>
      </c>
      <c r="U73" s="15" t="s">
        <v>56</v>
      </c>
      <c r="V73" s="34">
        <v>5.99</v>
      </c>
      <c r="W73" s="15" t="s">
        <v>56</v>
      </c>
      <c r="X73" s="58">
        <v>9999</v>
      </c>
      <c r="Y73" s="15" t="s">
        <v>60</v>
      </c>
      <c r="AC73" s="34">
        <v>4.0199999999999996</v>
      </c>
      <c r="AD73" s="15" t="s">
        <v>56</v>
      </c>
      <c r="AE73" s="49">
        <v>4.07</v>
      </c>
      <c r="AF73" s="15" t="s">
        <v>56</v>
      </c>
    </row>
    <row r="74" spans="1:32" ht="15.75" customHeight="1">
      <c r="A74" s="21">
        <v>71</v>
      </c>
      <c r="B74" s="21">
        <v>5.5</v>
      </c>
      <c r="C74" s="21">
        <v>5.6</v>
      </c>
      <c r="D74">
        <v>6.1</v>
      </c>
      <c r="E74" s="21" t="s">
        <v>67</v>
      </c>
      <c r="F74">
        <v>7.7</v>
      </c>
      <c r="G74" s="21" t="s">
        <v>56</v>
      </c>
      <c r="H74" s="57">
        <v>9.6999999999999993</v>
      </c>
      <c r="I74" s="15" t="s">
        <v>58</v>
      </c>
      <c r="J74" s="52">
        <v>9.1999999999999993</v>
      </c>
      <c r="K74" s="15" t="s">
        <v>58</v>
      </c>
      <c r="L74" s="35">
        <v>6.1</v>
      </c>
      <c r="M74" s="15" t="s">
        <v>56</v>
      </c>
      <c r="N74" s="35">
        <v>3.9</v>
      </c>
      <c r="P74" s="35">
        <v>3.9</v>
      </c>
      <c r="R74" s="35">
        <v>3.8</v>
      </c>
      <c r="S74" s="15" t="s">
        <v>56</v>
      </c>
      <c r="T74" s="35">
        <v>4.07</v>
      </c>
      <c r="U74" s="15" t="s">
        <v>56</v>
      </c>
      <c r="V74" s="53">
        <v>9999</v>
      </c>
      <c r="W74" s="15" t="s">
        <v>60</v>
      </c>
      <c r="X74" s="58">
        <v>9999</v>
      </c>
      <c r="Y74" s="15" t="s">
        <v>60</v>
      </c>
      <c r="AC74" s="34">
        <v>4.13</v>
      </c>
      <c r="AD74" s="15" t="s">
        <v>56</v>
      </c>
      <c r="AE74" s="49">
        <v>4.12</v>
      </c>
      <c r="AF74" s="15" t="s">
        <v>56</v>
      </c>
    </row>
    <row r="75" spans="1:32" ht="15.75" customHeight="1">
      <c r="A75" s="21">
        <v>72</v>
      </c>
      <c r="B75" s="21">
        <v>4.9000000000000004</v>
      </c>
      <c r="C75" s="21">
        <v>5.6</v>
      </c>
      <c r="D75">
        <v>6.4</v>
      </c>
      <c r="E75" s="21" t="s">
        <v>67</v>
      </c>
      <c r="F75" s="23">
        <v>9.1</v>
      </c>
      <c r="G75" s="23" t="s">
        <v>58</v>
      </c>
      <c r="H75" s="33">
        <v>7.6</v>
      </c>
      <c r="I75" s="15" t="s">
        <v>56</v>
      </c>
      <c r="J75" s="52">
        <v>11</v>
      </c>
      <c r="K75" s="15" t="s">
        <v>58</v>
      </c>
      <c r="L75" s="45">
        <v>20</v>
      </c>
      <c r="M75" s="15" t="s">
        <v>60</v>
      </c>
      <c r="N75" s="35">
        <v>4</v>
      </c>
      <c r="P75" s="35">
        <v>7.7</v>
      </c>
      <c r="R75" s="45">
        <v>17.5</v>
      </c>
      <c r="S75" s="15" t="s">
        <v>60</v>
      </c>
      <c r="T75" s="35">
        <v>4.0999999999999996</v>
      </c>
      <c r="U75" s="15" t="s">
        <v>56</v>
      </c>
      <c r="V75" s="53">
        <v>9999</v>
      </c>
      <c r="W75" s="15" t="s">
        <v>60</v>
      </c>
      <c r="X75" s="49">
        <v>4.24</v>
      </c>
      <c r="Y75" s="15" t="s">
        <v>56</v>
      </c>
      <c r="AC75" s="34">
        <v>6.99</v>
      </c>
      <c r="AD75" s="15" t="s">
        <v>56</v>
      </c>
      <c r="AE75" s="49">
        <v>7.07</v>
      </c>
      <c r="AF75" s="15" t="s">
        <v>56</v>
      </c>
    </row>
    <row r="76" spans="1:32" ht="15.75" customHeight="1">
      <c r="A76" s="21">
        <v>73</v>
      </c>
      <c r="B76" s="21">
        <v>5.0999999999999996</v>
      </c>
      <c r="C76" s="21">
        <v>5.8</v>
      </c>
      <c r="D76">
        <v>6</v>
      </c>
      <c r="E76" s="21" t="s">
        <v>67</v>
      </c>
      <c r="F76">
        <v>7.8</v>
      </c>
      <c r="G76" s="21" t="s">
        <v>56</v>
      </c>
      <c r="H76" s="57">
        <v>9.6999999999999993</v>
      </c>
      <c r="I76" s="15" t="s">
        <v>58</v>
      </c>
      <c r="J76" s="52">
        <v>9.3000000000000007</v>
      </c>
      <c r="K76" s="15" t="s">
        <v>58</v>
      </c>
      <c r="L76" s="35">
        <v>3.9</v>
      </c>
      <c r="M76" s="15" t="s">
        <v>56</v>
      </c>
      <c r="N76" s="35">
        <v>4</v>
      </c>
      <c r="P76" s="35">
        <v>4.9000000000000004</v>
      </c>
      <c r="R76" s="35">
        <v>4.3</v>
      </c>
      <c r="S76" s="15" t="s">
        <v>56</v>
      </c>
      <c r="T76" s="35">
        <v>4.01</v>
      </c>
      <c r="U76" s="15" t="s">
        <v>56</v>
      </c>
      <c r="V76" s="34">
        <v>5.03</v>
      </c>
      <c r="W76" s="15" t="s">
        <v>56</v>
      </c>
      <c r="X76" s="56">
        <v>9.9499999999999993</v>
      </c>
      <c r="Y76" s="15" t="s">
        <v>58</v>
      </c>
      <c r="AC76" s="34">
        <v>4.2699999999999996</v>
      </c>
      <c r="AD76" s="15" t="s">
        <v>56</v>
      </c>
      <c r="AE76" s="49">
        <v>4.2</v>
      </c>
      <c r="AF76" s="15" t="s">
        <v>56</v>
      </c>
    </row>
    <row r="77" spans="1:32" ht="15.75" customHeight="1">
      <c r="A77" s="21">
        <v>74</v>
      </c>
      <c r="B77" s="21">
        <v>5.9</v>
      </c>
      <c r="C77" s="21">
        <v>5.3</v>
      </c>
      <c r="D77">
        <v>5.8</v>
      </c>
      <c r="E77" s="21" t="s">
        <v>67</v>
      </c>
      <c r="F77" s="32">
        <v>7.4</v>
      </c>
      <c r="G77" s="21" t="s">
        <v>56</v>
      </c>
      <c r="H77" s="57">
        <v>9.4</v>
      </c>
      <c r="I77" s="15" t="s">
        <v>58</v>
      </c>
      <c r="J77" s="52">
        <v>9</v>
      </c>
      <c r="K77" s="15" t="s">
        <v>58</v>
      </c>
      <c r="L77" s="54">
        <v>10.199999999999999</v>
      </c>
      <c r="M77" s="15" t="s">
        <v>58</v>
      </c>
      <c r="N77" s="35">
        <v>3.9</v>
      </c>
      <c r="P77" s="54">
        <v>9.9</v>
      </c>
      <c r="Q77" s="15" t="s">
        <v>58</v>
      </c>
      <c r="R77" s="35">
        <v>3.9</v>
      </c>
      <c r="S77" s="15" t="s">
        <v>56</v>
      </c>
      <c r="T77" s="35">
        <v>4.03</v>
      </c>
      <c r="U77" s="15" t="s">
        <v>56</v>
      </c>
      <c r="V77" s="53">
        <v>9999</v>
      </c>
      <c r="W77" s="15" t="s">
        <v>60</v>
      </c>
      <c r="X77" s="49">
        <v>5.54</v>
      </c>
      <c r="Y77" s="15" t="s">
        <v>56</v>
      </c>
      <c r="AC77" s="34">
        <v>4.79</v>
      </c>
      <c r="AD77" s="15" t="s">
        <v>56</v>
      </c>
      <c r="AE77" s="49">
        <v>4.0199999999999996</v>
      </c>
      <c r="AF77" s="15" t="s">
        <v>56</v>
      </c>
    </row>
    <row r="78" spans="1:32" ht="15.75" customHeight="1">
      <c r="A78" s="21">
        <v>75</v>
      </c>
      <c r="B78" s="21">
        <v>5.5</v>
      </c>
      <c r="C78" s="21">
        <v>5.4</v>
      </c>
      <c r="D78">
        <v>5.7</v>
      </c>
      <c r="E78" s="21" t="s">
        <v>67</v>
      </c>
      <c r="F78">
        <v>7.5</v>
      </c>
      <c r="G78" s="21" t="s">
        <v>56</v>
      </c>
      <c r="H78" s="57">
        <v>10.3</v>
      </c>
      <c r="I78" s="15" t="s">
        <v>58</v>
      </c>
      <c r="J78" s="34">
        <v>8.1</v>
      </c>
      <c r="K78" s="15" t="s">
        <v>56</v>
      </c>
      <c r="L78" s="35">
        <v>7.5</v>
      </c>
      <c r="M78" s="15" t="s">
        <v>56</v>
      </c>
      <c r="N78" s="35">
        <v>4.3</v>
      </c>
      <c r="P78" s="35">
        <v>8.5</v>
      </c>
      <c r="R78" s="35">
        <v>4.0999999999999996</v>
      </c>
      <c r="S78" s="15" t="s">
        <v>56</v>
      </c>
      <c r="T78" s="35">
        <v>4.05</v>
      </c>
      <c r="U78" s="15" t="s">
        <v>56</v>
      </c>
      <c r="V78" s="34">
        <v>4.62</v>
      </c>
      <c r="W78" s="15" t="s">
        <v>56</v>
      </c>
      <c r="X78" s="58">
        <v>9999</v>
      </c>
      <c r="Y78" s="15" t="s">
        <v>60</v>
      </c>
      <c r="AC78" s="34">
        <v>4.1100000000000003</v>
      </c>
      <c r="AD78" s="15" t="s">
        <v>56</v>
      </c>
      <c r="AE78" s="49">
        <v>4.0999999999999996</v>
      </c>
      <c r="AF78" s="15" t="s">
        <v>56</v>
      </c>
    </row>
    <row r="79" spans="1:32" ht="15.75" customHeight="1">
      <c r="A79" s="21">
        <v>76</v>
      </c>
      <c r="B79" s="21">
        <v>5.2</v>
      </c>
      <c r="C79" s="21">
        <v>6</v>
      </c>
      <c r="D79">
        <v>6.5</v>
      </c>
      <c r="E79" s="21" t="s">
        <v>67</v>
      </c>
      <c r="F79" s="32">
        <v>7.8</v>
      </c>
      <c r="G79" s="21" t="s">
        <v>56</v>
      </c>
      <c r="H79" s="57">
        <v>9.8000000000000007</v>
      </c>
      <c r="I79" s="15" t="s">
        <v>58</v>
      </c>
      <c r="J79" s="52">
        <v>10.3</v>
      </c>
      <c r="K79" s="15" t="s">
        <v>58</v>
      </c>
      <c r="L79" s="35">
        <v>4.5999999999999996</v>
      </c>
      <c r="M79" s="15" t="s">
        <v>56</v>
      </c>
      <c r="N79" s="35">
        <v>4.0999999999999996</v>
      </c>
      <c r="P79" s="35">
        <v>4.8</v>
      </c>
      <c r="R79" s="35">
        <v>4.0999999999999996</v>
      </c>
      <c r="S79" s="15" t="s">
        <v>56</v>
      </c>
      <c r="T79" s="35">
        <v>4.05</v>
      </c>
      <c r="U79" s="15" t="s">
        <v>56</v>
      </c>
      <c r="V79" s="34">
        <v>4.8099999999999996</v>
      </c>
      <c r="W79" s="15" t="s">
        <v>56</v>
      </c>
      <c r="X79" s="49">
        <v>4.49</v>
      </c>
      <c r="Y79" s="15" t="s">
        <v>56</v>
      </c>
      <c r="AC79" s="34">
        <v>4.17</v>
      </c>
      <c r="AD79" s="15" t="s">
        <v>56</v>
      </c>
      <c r="AE79" s="49">
        <v>4.03</v>
      </c>
      <c r="AF79" s="15" t="s">
        <v>56</v>
      </c>
    </row>
    <row r="80" spans="1:32" ht="15.75" customHeight="1">
      <c r="A80" s="21">
        <v>77</v>
      </c>
      <c r="B80" s="21">
        <v>5.4</v>
      </c>
      <c r="C80" s="21">
        <v>6</v>
      </c>
      <c r="D80">
        <v>6.8</v>
      </c>
      <c r="E80" s="21" t="s">
        <v>67</v>
      </c>
      <c r="F80" s="23">
        <v>9.1999999999999993</v>
      </c>
      <c r="G80" s="23" t="s">
        <v>58</v>
      </c>
      <c r="H80" s="57">
        <v>9.5</v>
      </c>
      <c r="I80" s="15" t="s">
        <v>58</v>
      </c>
      <c r="J80" s="52">
        <v>11.5</v>
      </c>
      <c r="K80" s="15" t="s">
        <v>58</v>
      </c>
      <c r="L80" s="35">
        <v>5</v>
      </c>
      <c r="M80" s="15" t="s">
        <v>56</v>
      </c>
      <c r="N80" s="35">
        <v>5.0999999999999996</v>
      </c>
      <c r="P80" s="35">
        <v>4.5</v>
      </c>
      <c r="R80" s="35">
        <v>3.9</v>
      </c>
      <c r="S80" s="15" t="s">
        <v>56</v>
      </c>
      <c r="T80" s="35">
        <v>3.96</v>
      </c>
      <c r="U80" s="15" t="s">
        <v>56</v>
      </c>
      <c r="V80" s="34">
        <v>5.24</v>
      </c>
      <c r="W80" s="15" t="s">
        <v>56</v>
      </c>
      <c r="X80" s="49">
        <v>4.07</v>
      </c>
      <c r="Y80" s="15" t="s">
        <v>56</v>
      </c>
      <c r="AC80" s="34">
        <v>4.07</v>
      </c>
      <c r="AD80" s="15" t="s">
        <v>56</v>
      </c>
      <c r="AE80" s="49">
        <v>4.1500000000000004</v>
      </c>
      <c r="AF80" s="15" t="s">
        <v>56</v>
      </c>
    </row>
    <row r="81" spans="1:32" ht="15.75" customHeight="1">
      <c r="A81" s="21">
        <v>78</v>
      </c>
      <c r="B81" s="21">
        <v>5.3</v>
      </c>
      <c r="C81" s="21">
        <v>5.7</v>
      </c>
      <c r="D81">
        <v>6.5</v>
      </c>
      <c r="E81" s="21" t="s">
        <v>67</v>
      </c>
      <c r="F81">
        <v>8.1999999999999993</v>
      </c>
      <c r="G81" s="21" t="s">
        <v>56</v>
      </c>
      <c r="H81" s="33">
        <v>7.6</v>
      </c>
      <c r="I81" s="15" t="s">
        <v>56</v>
      </c>
      <c r="J81" s="52">
        <v>9.9</v>
      </c>
      <c r="K81" s="15" t="s">
        <v>58</v>
      </c>
      <c r="L81" s="35">
        <v>5.9</v>
      </c>
      <c r="M81" s="15" t="s">
        <v>56</v>
      </c>
      <c r="N81" s="35">
        <v>6.2</v>
      </c>
      <c r="P81" s="35">
        <v>5.8</v>
      </c>
      <c r="R81" s="35">
        <v>3.9</v>
      </c>
      <c r="S81" s="15" t="s">
        <v>56</v>
      </c>
      <c r="T81" s="35">
        <v>4.03</v>
      </c>
      <c r="U81" s="15" t="s">
        <v>56</v>
      </c>
      <c r="V81" s="34">
        <v>5.49</v>
      </c>
      <c r="W81" s="15" t="s">
        <v>56</v>
      </c>
      <c r="X81" s="49">
        <v>4.1100000000000003</v>
      </c>
      <c r="Y81" s="15" t="s">
        <v>56</v>
      </c>
      <c r="AC81" s="34">
        <v>4.1100000000000003</v>
      </c>
      <c r="AD81" s="15" t="s">
        <v>56</v>
      </c>
      <c r="AE81" s="49">
        <v>4.0999999999999996</v>
      </c>
      <c r="AF81" s="15" t="s">
        <v>56</v>
      </c>
    </row>
    <row r="82" spans="1:32" ht="15.75" customHeight="1">
      <c r="A82" s="21">
        <v>79</v>
      </c>
      <c r="B82" s="21">
        <v>5.3</v>
      </c>
      <c r="C82" s="21">
        <v>5.8</v>
      </c>
      <c r="D82">
        <v>6.5</v>
      </c>
      <c r="E82" s="21" t="s">
        <v>67</v>
      </c>
      <c r="F82">
        <v>8.8000000000000007</v>
      </c>
      <c r="G82" s="21" t="s">
        <v>56</v>
      </c>
      <c r="H82" s="33">
        <v>8.1999999999999993</v>
      </c>
      <c r="I82" s="15" t="s">
        <v>56</v>
      </c>
      <c r="J82" s="52">
        <v>10.3</v>
      </c>
      <c r="K82" s="15" t="s">
        <v>58</v>
      </c>
      <c r="L82" s="35">
        <v>4.2</v>
      </c>
      <c r="M82" s="15" t="s">
        <v>56</v>
      </c>
      <c r="N82" s="45">
        <v>28.4</v>
      </c>
      <c r="O82" s="15" t="s">
        <v>60</v>
      </c>
      <c r="P82" s="35">
        <v>7.5</v>
      </c>
      <c r="R82" s="35">
        <v>4</v>
      </c>
      <c r="S82" s="15" t="s">
        <v>56</v>
      </c>
      <c r="T82" s="35">
        <v>4.05</v>
      </c>
      <c r="U82" s="15" t="s">
        <v>56</v>
      </c>
      <c r="V82" s="53">
        <v>9999</v>
      </c>
      <c r="W82" s="15" t="s">
        <v>60</v>
      </c>
      <c r="X82" s="58">
        <v>9999</v>
      </c>
      <c r="Y82" s="15" t="s">
        <v>60</v>
      </c>
      <c r="AC82" s="34">
        <v>4.09</v>
      </c>
      <c r="AD82" s="15" t="s">
        <v>56</v>
      </c>
      <c r="AE82" s="49">
        <v>4.13</v>
      </c>
      <c r="AF82" s="15" t="s">
        <v>56</v>
      </c>
    </row>
    <row r="83" spans="1:32" ht="15.75" customHeight="1">
      <c r="A83" s="21">
        <v>80</v>
      </c>
      <c r="B83" s="21">
        <v>5</v>
      </c>
      <c r="C83" s="21">
        <v>5.2</v>
      </c>
      <c r="D83">
        <v>5.6</v>
      </c>
      <c r="E83" s="21" t="s">
        <v>67</v>
      </c>
      <c r="F83">
        <v>7.6</v>
      </c>
      <c r="G83" s="21" t="s">
        <v>56</v>
      </c>
      <c r="H83" s="33">
        <v>8.6</v>
      </c>
      <c r="I83" s="15" t="s">
        <v>56</v>
      </c>
      <c r="J83" s="34">
        <v>8.3000000000000007</v>
      </c>
      <c r="K83" s="15" t="s">
        <v>56</v>
      </c>
      <c r="L83" s="35">
        <v>5.3</v>
      </c>
      <c r="M83" s="15" t="s">
        <v>56</v>
      </c>
      <c r="N83" s="35">
        <v>5.4</v>
      </c>
      <c r="P83" s="35">
        <v>4</v>
      </c>
      <c r="R83" s="35">
        <v>3.9</v>
      </c>
      <c r="S83" s="15" t="s">
        <v>56</v>
      </c>
      <c r="T83" s="35">
        <v>3.95</v>
      </c>
      <c r="U83" s="15" t="s">
        <v>56</v>
      </c>
      <c r="V83" s="34">
        <v>6.16</v>
      </c>
      <c r="W83" s="15" t="s">
        <v>56</v>
      </c>
      <c r="X83" s="49">
        <v>4.18</v>
      </c>
      <c r="Y83" s="15" t="s">
        <v>56</v>
      </c>
      <c r="AC83" s="34">
        <v>4.17</v>
      </c>
      <c r="AD83" s="15" t="s">
        <v>56</v>
      </c>
      <c r="AE83" s="49">
        <v>4.03</v>
      </c>
      <c r="AF83" s="15" t="s">
        <v>56</v>
      </c>
    </row>
    <row r="84" spans="1:32" ht="15.75" customHeight="1">
      <c r="A84" s="21">
        <v>81</v>
      </c>
      <c r="B84" s="21">
        <v>6.1</v>
      </c>
      <c r="C84" s="21">
        <v>5.6</v>
      </c>
      <c r="D84">
        <v>6.3</v>
      </c>
      <c r="E84" s="21" t="s">
        <v>67</v>
      </c>
      <c r="F84">
        <v>8.6</v>
      </c>
      <c r="G84" s="21" t="s">
        <v>56</v>
      </c>
      <c r="H84" s="57">
        <v>10</v>
      </c>
      <c r="I84" s="15" t="s">
        <v>58</v>
      </c>
      <c r="J84" s="52">
        <v>10.4</v>
      </c>
      <c r="K84" s="15" t="s">
        <v>58</v>
      </c>
      <c r="L84" s="35">
        <v>4</v>
      </c>
      <c r="M84" s="15" t="s">
        <v>56</v>
      </c>
      <c r="N84" s="35">
        <v>6.5</v>
      </c>
      <c r="P84" s="35">
        <v>4</v>
      </c>
      <c r="R84" s="35">
        <v>3.9</v>
      </c>
      <c r="S84" s="15" t="s">
        <v>56</v>
      </c>
      <c r="T84" s="35">
        <v>3.95</v>
      </c>
      <c r="U84" s="15" t="s">
        <v>56</v>
      </c>
      <c r="V84" s="53">
        <v>9999</v>
      </c>
      <c r="W84" s="15" t="s">
        <v>60</v>
      </c>
      <c r="X84" s="49">
        <v>4.18</v>
      </c>
      <c r="Y84" s="15" t="s">
        <v>56</v>
      </c>
      <c r="AC84" s="34">
        <v>4.0599999999999996</v>
      </c>
      <c r="AD84" s="15" t="s">
        <v>56</v>
      </c>
      <c r="AE84" s="49">
        <v>4.17</v>
      </c>
      <c r="AF84" s="15" t="s">
        <v>56</v>
      </c>
    </row>
    <row r="85" spans="1:32" ht="15.75" customHeight="1">
      <c r="A85" s="21">
        <v>82</v>
      </c>
      <c r="B85" s="21">
        <v>5.5</v>
      </c>
      <c r="C85" s="21">
        <v>5.5</v>
      </c>
      <c r="D85">
        <v>6</v>
      </c>
      <c r="E85" s="21" t="s">
        <v>67</v>
      </c>
      <c r="F85">
        <v>8.3000000000000007</v>
      </c>
      <c r="G85" s="21" t="s">
        <v>56</v>
      </c>
      <c r="H85" s="33">
        <v>8.5</v>
      </c>
      <c r="I85" s="15" t="s">
        <v>56</v>
      </c>
      <c r="J85" s="52">
        <v>9.9</v>
      </c>
      <c r="K85" s="15" t="s">
        <v>58</v>
      </c>
      <c r="L85" s="35">
        <v>3.9</v>
      </c>
      <c r="M85" s="15" t="s">
        <v>56</v>
      </c>
      <c r="N85" s="35">
        <v>5.2</v>
      </c>
      <c r="P85" s="35">
        <v>4.0999999999999996</v>
      </c>
      <c r="R85" s="35">
        <v>4.0999999999999996</v>
      </c>
      <c r="S85" s="15" t="s">
        <v>56</v>
      </c>
      <c r="T85" s="35">
        <v>3.98</v>
      </c>
      <c r="U85" s="15" t="s">
        <v>56</v>
      </c>
      <c r="V85" s="34">
        <v>5.87</v>
      </c>
      <c r="W85" s="15" t="s">
        <v>56</v>
      </c>
      <c r="X85" s="49">
        <v>4.17</v>
      </c>
      <c r="Y85" s="15" t="s">
        <v>56</v>
      </c>
      <c r="AC85" s="53">
        <v>9999</v>
      </c>
      <c r="AD85" s="15" t="s">
        <v>60</v>
      </c>
      <c r="AE85" s="49">
        <v>4.03</v>
      </c>
      <c r="AF85" s="15" t="s">
        <v>56</v>
      </c>
    </row>
    <row r="86" spans="1:32" ht="15.75" customHeight="1">
      <c r="A86" s="21">
        <v>83</v>
      </c>
      <c r="B86" s="21">
        <v>5.2</v>
      </c>
      <c r="C86" s="21">
        <v>5.7</v>
      </c>
      <c r="D86">
        <v>6.3</v>
      </c>
      <c r="E86" s="21" t="s">
        <v>67</v>
      </c>
      <c r="F86">
        <v>8.6</v>
      </c>
      <c r="G86" s="21" t="s">
        <v>56</v>
      </c>
      <c r="H86" s="57">
        <v>9.1999999999999993</v>
      </c>
      <c r="I86" s="15" t="s">
        <v>58</v>
      </c>
      <c r="J86" s="52">
        <v>10.7</v>
      </c>
      <c r="K86" s="15" t="s">
        <v>58</v>
      </c>
      <c r="L86" s="35">
        <v>4.4000000000000004</v>
      </c>
      <c r="M86" s="15" t="s">
        <v>56</v>
      </c>
      <c r="N86" s="35">
        <v>4.5</v>
      </c>
      <c r="P86" s="35">
        <v>4.7</v>
      </c>
      <c r="R86" s="35">
        <v>4.2</v>
      </c>
      <c r="S86" s="15" t="s">
        <v>56</v>
      </c>
      <c r="T86" s="35">
        <v>4.2</v>
      </c>
      <c r="U86" s="15" t="s">
        <v>56</v>
      </c>
      <c r="V86" s="53">
        <v>9999</v>
      </c>
      <c r="W86" s="15" t="s">
        <v>60</v>
      </c>
      <c r="X86" s="49">
        <v>4.0599999999999996</v>
      </c>
      <c r="Y86" s="15" t="s">
        <v>56</v>
      </c>
      <c r="AC86" s="34">
        <v>4.28</v>
      </c>
      <c r="AD86" s="15" t="s">
        <v>56</v>
      </c>
      <c r="AE86" s="58">
        <v>9999</v>
      </c>
      <c r="AF86" s="15" t="s">
        <v>60</v>
      </c>
    </row>
    <row r="87" spans="1:32" ht="15.75" customHeight="1">
      <c r="A87" s="21">
        <v>84</v>
      </c>
      <c r="B87" s="21">
        <v>5.8</v>
      </c>
      <c r="C87" s="21">
        <v>5.0999999999999996</v>
      </c>
      <c r="D87">
        <v>5.5</v>
      </c>
      <c r="E87" s="21" t="s">
        <v>67</v>
      </c>
      <c r="F87">
        <v>7.8</v>
      </c>
      <c r="G87" s="21" t="s">
        <v>56</v>
      </c>
      <c r="H87" s="33">
        <v>8.5</v>
      </c>
      <c r="I87" s="15" t="s">
        <v>56</v>
      </c>
      <c r="J87" s="34">
        <v>8.1999999999999993</v>
      </c>
      <c r="K87" s="15" t="s">
        <v>56</v>
      </c>
      <c r="L87" s="35">
        <v>4.9000000000000004</v>
      </c>
      <c r="M87" s="15" t="s">
        <v>56</v>
      </c>
      <c r="N87" s="35">
        <v>6.7</v>
      </c>
      <c r="P87" s="35">
        <v>6</v>
      </c>
      <c r="R87" s="35">
        <v>5</v>
      </c>
      <c r="S87" s="15" t="s">
        <v>56</v>
      </c>
      <c r="T87" s="35">
        <v>4.9000000000000004</v>
      </c>
      <c r="U87" s="15" t="s">
        <v>56</v>
      </c>
      <c r="V87" s="34">
        <v>6.49</v>
      </c>
      <c r="W87" s="15" t="s">
        <v>56</v>
      </c>
      <c r="X87" s="49">
        <v>4.29</v>
      </c>
      <c r="Y87" s="15" t="s">
        <v>56</v>
      </c>
      <c r="AC87" s="34">
        <v>4.1399999999999997</v>
      </c>
      <c r="AD87" s="15" t="s">
        <v>56</v>
      </c>
      <c r="AE87" s="49">
        <v>4.34</v>
      </c>
      <c r="AF87" s="15" t="s">
        <v>56</v>
      </c>
    </row>
    <row r="88" spans="1:32" ht="15.75" customHeight="1">
      <c r="A88" s="21">
        <v>85</v>
      </c>
      <c r="B88" s="21">
        <v>5.3</v>
      </c>
      <c r="C88" s="21">
        <v>5.5</v>
      </c>
      <c r="D88">
        <v>6</v>
      </c>
      <c r="E88" s="21" t="s">
        <v>67</v>
      </c>
      <c r="F88">
        <v>7.9</v>
      </c>
      <c r="G88" s="21" t="s">
        <v>56</v>
      </c>
      <c r="H88" s="57">
        <v>9.5</v>
      </c>
      <c r="I88" s="15" t="s">
        <v>58</v>
      </c>
      <c r="J88" s="52">
        <v>9.3000000000000007</v>
      </c>
      <c r="K88" s="15" t="s">
        <v>58</v>
      </c>
      <c r="L88" s="35">
        <v>4.0999999999999996</v>
      </c>
      <c r="M88" s="15" t="s">
        <v>56</v>
      </c>
      <c r="N88" s="35">
        <v>5.0999999999999996</v>
      </c>
      <c r="P88" s="35">
        <v>5.3</v>
      </c>
      <c r="R88" s="35">
        <v>4</v>
      </c>
      <c r="S88" s="15" t="s">
        <v>56</v>
      </c>
      <c r="T88" s="35">
        <v>4.04</v>
      </c>
      <c r="U88" s="15" t="s">
        <v>56</v>
      </c>
      <c r="V88" s="34">
        <v>5.65</v>
      </c>
      <c r="W88" s="15" t="s">
        <v>56</v>
      </c>
      <c r="X88" s="49">
        <v>6.84</v>
      </c>
      <c r="Y88" s="15" t="s">
        <v>56</v>
      </c>
      <c r="AC88" s="34">
        <v>5.8</v>
      </c>
      <c r="AD88" s="15" t="s">
        <v>56</v>
      </c>
      <c r="AE88" s="49">
        <v>4.2</v>
      </c>
      <c r="AF88" s="15" t="s">
        <v>56</v>
      </c>
    </row>
    <row r="89" spans="1:32" ht="15.75" customHeight="1">
      <c r="A89" s="21">
        <v>86</v>
      </c>
      <c r="B89" s="21">
        <v>5.6</v>
      </c>
      <c r="C89" s="21">
        <v>5.6</v>
      </c>
      <c r="D89">
        <v>6.1</v>
      </c>
      <c r="E89" s="21" t="s">
        <v>67</v>
      </c>
      <c r="F89">
        <v>8.1999999999999993</v>
      </c>
      <c r="G89" s="21" t="s">
        <v>56</v>
      </c>
      <c r="H89" s="33">
        <v>7.2</v>
      </c>
      <c r="I89" s="15" t="s">
        <v>56</v>
      </c>
      <c r="J89" s="52">
        <v>9.6999999999999993</v>
      </c>
      <c r="K89" s="15" t="s">
        <v>58</v>
      </c>
      <c r="L89" s="35">
        <v>4.2</v>
      </c>
      <c r="M89" s="15" t="s">
        <v>56</v>
      </c>
      <c r="N89" s="35">
        <v>4.3</v>
      </c>
      <c r="P89" s="35">
        <v>4.9000000000000004</v>
      </c>
      <c r="R89" s="35">
        <v>4.2</v>
      </c>
      <c r="S89" s="15" t="s">
        <v>56</v>
      </c>
      <c r="T89" s="35">
        <v>4.4800000000000004</v>
      </c>
      <c r="U89" s="15" t="s">
        <v>56</v>
      </c>
      <c r="V89" s="34">
        <v>5.31</v>
      </c>
      <c r="W89" s="15" t="s">
        <v>56</v>
      </c>
      <c r="X89" s="49">
        <v>5.86</v>
      </c>
      <c r="Y89" s="15" t="s">
        <v>56</v>
      </c>
      <c r="AC89" s="34">
        <v>4.09</v>
      </c>
      <c r="AD89" s="15" t="s">
        <v>56</v>
      </c>
      <c r="AE89" s="49">
        <v>4.28</v>
      </c>
      <c r="AF89" s="15" t="s">
        <v>56</v>
      </c>
    </row>
    <row r="90" spans="1:32" ht="15.75" customHeight="1">
      <c r="A90" s="21">
        <v>87</v>
      </c>
      <c r="B90" s="21">
        <v>5.6</v>
      </c>
      <c r="C90" s="21">
        <v>5.8</v>
      </c>
      <c r="D90">
        <v>6.5</v>
      </c>
      <c r="E90" s="21" t="s">
        <v>67</v>
      </c>
      <c r="F90" s="23">
        <v>9.1</v>
      </c>
      <c r="G90" s="23" t="s">
        <v>58</v>
      </c>
      <c r="H90" s="33">
        <v>8.1</v>
      </c>
      <c r="I90" s="15" t="s">
        <v>56</v>
      </c>
      <c r="J90" s="52">
        <v>10.8</v>
      </c>
      <c r="K90" s="15" t="s">
        <v>58</v>
      </c>
      <c r="L90" s="35">
        <v>4.5</v>
      </c>
      <c r="M90" s="15" t="s">
        <v>56</v>
      </c>
      <c r="N90" s="35">
        <v>4.0999999999999996</v>
      </c>
      <c r="P90" s="35">
        <v>4.9000000000000004</v>
      </c>
      <c r="R90" s="35">
        <v>4.4000000000000004</v>
      </c>
      <c r="S90" s="15" t="s">
        <v>56</v>
      </c>
      <c r="T90" s="35">
        <v>4.38</v>
      </c>
      <c r="U90" s="15" t="s">
        <v>56</v>
      </c>
      <c r="V90" s="34">
        <v>4.54</v>
      </c>
      <c r="W90" s="15" t="s">
        <v>56</v>
      </c>
      <c r="X90" s="49">
        <v>7.7</v>
      </c>
      <c r="Y90" s="15" t="s">
        <v>56</v>
      </c>
      <c r="AC90" s="34">
        <v>4.12</v>
      </c>
      <c r="AD90" s="15" t="s">
        <v>56</v>
      </c>
      <c r="AE90" s="49">
        <v>4.1100000000000003</v>
      </c>
      <c r="AF90" s="15" t="s">
        <v>56</v>
      </c>
    </row>
    <row r="91" spans="1:32" ht="15.75" customHeight="1">
      <c r="A91" s="21">
        <v>88</v>
      </c>
      <c r="B91" s="21">
        <v>5.5</v>
      </c>
      <c r="C91" s="21">
        <v>5.7</v>
      </c>
      <c r="D91">
        <v>6.3</v>
      </c>
      <c r="E91" s="21" t="s">
        <v>67</v>
      </c>
      <c r="F91" s="23">
        <v>9.1</v>
      </c>
      <c r="G91" s="23" t="s">
        <v>58</v>
      </c>
      <c r="H91" s="57">
        <v>9</v>
      </c>
      <c r="I91" s="15" t="s">
        <v>58</v>
      </c>
      <c r="J91" s="52">
        <v>10</v>
      </c>
      <c r="K91" s="15" t="s">
        <v>58</v>
      </c>
      <c r="L91" s="35">
        <v>4.7</v>
      </c>
      <c r="M91" s="15" t="s">
        <v>56</v>
      </c>
      <c r="N91" s="35">
        <v>4.0999999999999996</v>
      </c>
      <c r="P91" s="35">
        <v>5.2</v>
      </c>
      <c r="R91" s="35">
        <v>4</v>
      </c>
      <c r="S91" s="15" t="s">
        <v>56</v>
      </c>
      <c r="T91" s="35">
        <v>5.1100000000000003</v>
      </c>
      <c r="U91" s="15" t="s">
        <v>56</v>
      </c>
      <c r="V91" s="34">
        <v>5.21</v>
      </c>
      <c r="W91" s="15" t="s">
        <v>56</v>
      </c>
      <c r="X91" s="49">
        <v>8.73</v>
      </c>
      <c r="Y91" s="15" t="s">
        <v>56</v>
      </c>
      <c r="AC91" s="34">
        <v>4.13</v>
      </c>
      <c r="AD91" s="15" t="s">
        <v>56</v>
      </c>
      <c r="AE91" s="49">
        <v>4.0599999999999996</v>
      </c>
      <c r="AF91" s="15" t="s">
        <v>56</v>
      </c>
    </row>
    <row r="92" spans="1:32" ht="15.75" customHeight="1">
      <c r="A92" s="21">
        <v>89</v>
      </c>
      <c r="B92" s="21">
        <v>5.4</v>
      </c>
      <c r="C92" s="21">
        <v>5.4</v>
      </c>
      <c r="D92">
        <v>5.9</v>
      </c>
      <c r="E92" s="21" t="s">
        <v>67</v>
      </c>
      <c r="F92">
        <v>7.7</v>
      </c>
      <c r="G92" s="21" t="s">
        <v>56</v>
      </c>
      <c r="H92" s="57">
        <v>9.6</v>
      </c>
      <c r="I92" s="15" t="s">
        <v>58</v>
      </c>
      <c r="J92" s="52">
        <v>9.1</v>
      </c>
      <c r="K92" s="15" t="s">
        <v>58</v>
      </c>
      <c r="L92" s="35">
        <v>4.8</v>
      </c>
      <c r="M92" s="15" t="s">
        <v>56</v>
      </c>
      <c r="N92" s="35">
        <v>4</v>
      </c>
      <c r="P92" s="35">
        <v>4.9000000000000004</v>
      </c>
      <c r="R92" s="35">
        <v>4</v>
      </c>
      <c r="S92" s="15" t="s">
        <v>56</v>
      </c>
      <c r="T92" s="35">
        <v>5.04</v>
      </c>
      <c r="U92" s="15" t="s">
        <v>56</v>
      </c>
      <c r="V92" s="53">
        <v>9999</v>
      </c>
      <c r="W92" s="15" t="s">
        <v>60</v>
      </c>
      <c r="X92" s="49">
        <v>4.55</v>
      </c>
      <c r="Y92" s="15" t="s">
        <v>56</v>
      </c>
      <c r="AC92" s="34">
        <v>4.08</v>
      </c>
      <c r="AD92" s="15" t="s">
        <v>56</v>
      </c>
      <c r="AE92" s="58">
        <v>17.36</v>
      </c>
      <c r="AF92" s="15" t="s">
        <v>60</v>
      </c>
    </row>
    <row r="93" spans="1:32" ht="15.75" customHeight="1">
      <c r="A93" s="21">
        <v>90</v>
      </c>
      <c r="B93" s="21">
        <v>5.4</v>
      </c>
      <c r="C93" s="21">
        <v>6</v>
      </c>
      <c r="D93">
        <v>6.5</v>
      </c>
      <c r="E93" s="21" t="s">
        <v>67</v>
      </c>
      <c r="F93" s="23">
        <v>9.5</v>
      </c>
      <c r="G93" s="23" t="s">
        <v>58</v>
      </c>
      <c r="H93" s="57">
        <v>9.1</v>
      </c>
      <c r="I93" s="15" t="s">
        <v>58</v>
      </c>
      <c r="J93" s="52">
        <v>10.5</v>
      </c>
      <c r="K93" s="15" t="s">
        <v>58</v>
      </c>
      <c r="L93" s="35">
        <v>4.5999999999999996</v>
      </c>
      <c r="M93" s="15" t="s">
        <v>56</v>
      </c>
      <c r="N93" s="35">
        <v>4</v>
      </c>
      <c r="P93" s="35">
        <v>4.2</v>
      </c>
      <c r="R93" s="35">
        <v>3.9</v>
      </c>
      <c r="S93" s="15" t="s">
        <v>56</v>
      </c>
      <c r="T93" s="35">
        <v>4.01</v>
      </c>
      <c r="U93" s="15" t="s">
        <v>56</v>
      </c>
      <c r="V93" s="34">
        <v>4.79</v>
      </c>
      <c r="W93" s="15" t="s">
        <v>56</v>
      </c>
      <c r="X93" s="58">
        <v>9999</v>
      </c>
      <c r="Y93" s="15" t="s">
        <v>60</v>
      </c>
      <c r="AC93" s="34">
        <v>4.13</v>
      </c>
      <c r="AD93" s="15" t="s">
        <v>56</v>
      </c>
      <c r="AE93" s="49">
        <v>3.99</v>
      </c>
      <c r="AF93" s="15" t="s">
        <v>56</v>
      </c>
    </row>
    <row r="94" spans="1:32" ht="15.75" customHeight="1">
      <c r="A94" s="21">
        <v>91</v>
      </c>
      <c r="B94" s="21">
        <v>5.5</v>
      </c>
      <c r="C94" s="21">
        <v>5.0999999999999996</v>
      </c>
      <c r="D94">
        <v>5.5</v>
      </c>
      <c r="E94" s="21" t="s">
        <v>67</v>
      </c>
      <c r="F94" s="32">
        <v>7.2</v>
      </c>
      <c r="G94" s="21" t="s">
        <v>56</v>
      </c>
      <c r="H94" s="33">
        <v>8.1</v>
      </c>
      <c r="I94" s="15" t="s">
        <v>56</v>
      </c>
      <c r="J94" s="34">
        <v>8.4</v>
      </c>
      <c r="K94" s="15" t="s">
        <v>56</v>
      </c>
      <c r="L94" s="35">
        <v>4.9000000000000004</v>
      </c>
      <c r="M94" s="15" t="s">
        <v>56</v>
      </c>
      <c r="N94" s="35">
        <v>3.9</v>
      </c>
      <c r="P94" s="35">
        <v>4.0999999999999996</v>
      </c>
      <c r="R94" s="35">
        <v>3.8</v>
      </c>
      <c r="S94" s="15" t="s">
        <v>56</v>
      </c>
      <c r="T94" s="35">
        <v>3.97</v>
      </c>
      <c r="U94" s="15" t="s">
        <v>56</v>
      </c>
      <c r="V94" s="34">
        <v>5.88</v>
      </c>
      <c r="W94" s="15" t="s">
        <v>56</v>
      </c>
      <c r="X94" s="58">
        <v>16.350000000000001</v>
      </c>
      <c r="Y94" s="15" t="s">
        <v>60</v>
      </c>
      <c r="AC94" s="34">
        <v>4.37</v>
      </c>
      <c r="AD94" s="15" t="s">
        <v>56</v>
      </c>
      <c r="AE94" s="49">
        <v>4.29</v>
      </c>
      <c r="AF94" s="15" t="s">
        <v>56</v>
      </c>
    </row>
    <row r="95" spans="1:32" ht="15.75" customHeight="1">
      <c r="A95" s="21">
        <v>92</v>
      </c>
      <c r="B95" s="21">
        <v>5.2</v>
      </c>
      <c r="C95" s="21">
        <v>5.4</v>
      </c>
      <c r="D95">
        <v>5.9</v>
      </c>
      <c r="E95" s="21" t="s">
        <v>67</v>
      </c>
      <c r="F95" s="32">
        <v>8.1</v>
      </c>
      <c r="G95" s="21" t="s">
        <v>56</v>
      </c>
      <c r="H95" s="57">
        <v>9.4</v>
      </c>
      <c r="I95" s="15" t="s">
        <v>58</v>
      </c>
      <c r="J95" s="34">
        <v>8.4</v>
      </c>
      <c r="K95" s="15" t="s">
        <v>56</v>
      </c>
      <c r="L95" s="35">
        <v>5.2</v>
      </c>
      <c r="M95" s="15" t="s">
        <v>56</v>
      </c>
      <c r="N95" s="35">
        <v>4.0999999999999996</v>
      </c>
      <c r="P95" s="35">
        <v>4.4000000000000004</v>
      </c>
      <c r="R95" s="35">
        <v>4.0999999999999996</v>
      </c>
      <c r="S95" s="15" t="s">
        <v>56</v>
      </c>
      <c r="T95" s="35">
        <v>4.2300000000000004</v>
      </c>
      <c r="U95" s="15" t="s">
        <v>56</v>
      </c>
      <c r="V95" s="53">
        <v>9999</v>
      </c>
      <c r="W95" s="15" t="s">
        <v>60</v>
      </c>
      <c r="X95" s="49">
        <v>5.13</v>
      </c>
      <c r="Y95" s="15" t="s">
        <v>56</v>
      </c>
      <c r="AC95" s="34">
        <v>4.0199999999999996</v>
      </c>
      <c r="AD95" s="15" t="s">
        <v>56</v>
      </c>
      <c r="AE95" s="49">
        <v>3.95</v>
      </c>
      <c r="AF95" s="15" t="s">
        <v>56</v>
      </c>
    </row>
    <row r="96" spans="1:32" ht="15.75" customHeight="1">
      <c r="A96" s="21">
        <v>93</v>
      </c>
      <c r="B96" s="21">
        <v>6.3</v>
      </c>
      <c r="C96" s="21">
        <v>5.0999999999999996</v>
      </c>
      <c r="D96">
        <v>6</v>
      </c>
      <c r="E96" s="21" t="s">
        <v>67</v>
      </c>
      <c r="F96" s="32">
        <v>8.1</v>
      </c>
      <c r="G96" s="21" t="s">
        <v>56</v>
      </c>
      <c r="H96" s="57">
        <v>9.1</v>
      </c>
      <c r="I96" s="15" t="s">
        <v>58</v>
      </c>
      <c r="J96" s="34">
        <v>8.1</v>
      </c>
      <c r="K96" s="15" t="s">
        <v>56</v>
      </c>
      <c r="L96" s="45">
        <v>32.6</v>
      </c>
      <c r="M96" s="15" t="s">
        <v>60</v>
      </c>
      <c r="N96" s="35">
        <v>3.9</v>
      </c>
      <c r="P96" s="35">
        <v>3.6</v>
      </c>
      <c r="R96" s="35">
        <v>3.9</v>
      </c>
      <c r="S96" s="15" t="s">
        <v>56</v>
      </c>
      <c r="T96" s="35">
        <v>4.7</v>
      </c>
      <c r="U96" s="15" t="s">
        <v>56</v>
      </c>
      <c r="V96" s="34">
        <v>6.22</v>
      </c>
      <c r="W96" s="15" t="s">
        <v>56</v>
      </c>
      <c r="X96" s="58">
        <v>27.07</v>
      </c>
      <c r="Y96" s="15" t="s">
        <v>60</v>
      </c>
      <c r="AC96" s="34">
        <v>4.46</v>
      </c>
      <c r="AD96" s="15" t="s">
        <v>56</v>
      </c>
      <c r="AE96" s="49">
        <v>4.28</v>
      </c>
      <c r="AF96" s="15" t="s">
        <v>56</v>
      </c>
    </row>
    <row r="97" spans="1:32" ht="15.75" customHeight="1">
      <c r="A97" s="21">
        <v>94</v>
      </c>
      <c r="B97" s="21">
        <v>5.2</v>
      </c>
      <c r="C97" s="21">
        <v>6</v>
      </c>
      <c r="D97">
        <v>5.5</v>
      </c>
      <c r="E97" s="21" t="s">
        <v>67</v>
      </c>
      <c r="F97" s="32">
        <v>8.6</v>
      </c>
      <c r="G97" s="21" t="s">
        <v>56</v>
      </c>
      <c r="H97" s="33">
        <v>7.4</v>
      </c>
      <c r="I97" s="15" t="s">
        <v>56</v>
      </c>
      <c r="J97" s="52">
        <v>9.6999999999999993</v>
      </c>
      <c r="K97" s="15" t="s">
        <v>58</v>
      </c>
      <c r="L97" s="35">
        <v>3.6</v>
      </c>
      <c r="M97" s="15" t="s">
        <v>56</v>
      </c>
      <c r="N97" s="35">
        <v>4.2</v>
      </c>
      <c r="P97" s="35">
        <v>4.3</v>
      </c>
      <c r="R97" s="35">
        <v>4.2</v>
      </c>
      <c r="S97" s="15" t="s">
        <v>56</v>
      </c>
      <c r="T97" s="35">
        <v>4.3099999999999996</v>
      </c>
      <c r="U97" s="15" t="s">
        <v>56</v>
      </c>
      <c r="V97" s="34">
        <v>7.46</v>
      </c>
      <c r="W97" s="15" t="s">
        <v>56</v>
      </c>
      <c r="X97" s="49">
        <v>4.26</v>
      </c>
      <c r="Y97" s="15" t="s">
        <v>56</v>
      </c>
      <c r="AC97" s="34">
        <v>3.96</v>
      </c>
      <c r="AD97" s="15" t="s">
        <v>56</v>
      </c>
      <c r="AE97" s="49">
        <v>5.38</v>
      </c>
      <c r="AF97" s="15" t="s">
        <v>56</v>
      </c>
    </row>
    <row r="98" spans="1:32" ht="15.75" customHeight="1">
      <c r="A98" s="21">
        <v>95</v>
      </c>
      <c r="B98" s="21">
        <v>5.6</v>
      </c>
      <c r="C98" s="21">
        <v>6.2</v>
      </c>
      <c r="D98">
        <v>6.2</v>
      </c>
      <c r="E98" s="21" t="s">
        <v>67</v>
      </c>
      <c r="F98" s="32">
        <v>7.5</v>
      </c>
      <c r="G98" s="21" t="s">
        <v>56</v>
      </c>
      <c r="H98" s="33">
        <v>8.3000000000000007</v>
      </c>
      <c r="I98" s="15" t="s">
        <v>56</v>
      </c>
      <c r="J98" s="52">
        <v>9.5</v>
      </c>
      <c r="K98" s="15" t="s">
        <v>58</v>
      </c>
      <c r="L98" s="35">
        <v>5.6</v>
      </c>
      <c r="M98" s="15" t="s">
        <v>56</v>
      </c>
      <c r="N98" s="35">
        <v>4.0999999999999996</v>
      </c>
      <c r="P98" s="35">
        <v>5.5</v>
      </c>
      <c r="R98" s="35">
        <v>3.9</v>
      </c>
      <c r="S98" s="15" t="s">
        <v>56</v>
      </c>
      <c r="T98" s="35">
        <v>3.91</v>
      </c>
      <c r="U98" s="15" t="s">
        <v>56</v>
      </c>
      <c r="V98" s="34">
        <v>5.91</v>
      </c>
      <c r="W98" s="15" t="s">
        <v>56</v>
      </c>
      <c r="X98" s="49">
        <v>4.16</v>
      </c>
      <c r="Y98" s="15" t="s">
        <v>56</v>
      </c>
      <c r="AC98" s="34">
        <v>4.21</v>
      </c>
      <c r="AD98" s="15" t="s">
        <v>56</v>
      </c>
      <c r="AE98" s="49">
        <v>7.6</v>
      </c>
      <c r="AF98" s="15" t="s">
        <v>56</v>
      </c>
    </row>
    <row r="99" spans="1:32" ht="15.75" customHeight="1">
      <c r="A99" s="21">
        <v>96</v>
      </c>
      <c r="B99" s="21">
        <v>5.2</v>
      </c>
      <c r="C99" s="21">
        <v>6.5</v>
      </c>
      <c r="D99">
        <v>6.2</v>
      </c>
      <c r="E99" s="21" t="s">
        <v>67</v>
      </c>
      <c r="F99" s="23">
        <v>9</v>
      </c>
      <c r="G99" s="23" t="s">
        <v>58</v>
      </c>
      <c r="H99" s="57">
        <v>9.1999999999999993</v>
      </c>
      <c r="I99" s="15" t="s">
        <v>58</v>
      </c>
      <c r="J99" s="52">
        <v>11.1</v>
      </c>
      <c r="K99" s="15" t="s">
        <v>58</v>
      </c>
      <c r="L99" s="35">
        <v>5.2</v>
      </c>
      <c r="M99" s="15" t="s">
        <v>56</v>
      </c>
      <c r="N99" s="35">
        <v>6.8</v>
      </c>
      <c r="P99" s="45">
        <v>12.5</v>
      </c>
      <c r="Q99" s="15" t="s">
        <v>60</v>
      </c>
      <c r="R99" s="35">
        <v>3.9</v>
      </c>
      <c r="S99" s="15" t="s">
        <v>56</v>
      </c>
      <c r="T99" s="35">
        <v>4.1399999999999997</v>
      </c>
      <c r="U99" s="15" t="s">
        <v>56</v>
      </c>
      <c r="V99" s="53">
        <v>9999</v>
      </c>
      <c r="W99" s="15" t="s">
        <v>60</v>
      </c>
      <c r="X99" s="49">
        <v>4.3</v>
      </c>
      <c r="Y99" s="15" t="s">
        <v>56</v>
      </c>
      <c r="AC99" s="34">
        <v>5.23</v>
      </c>
      <c r="AD99" s="15" t="s">
        <v>56</v>
      </c>
      <c r="AE99" s="49">
        <v>4.1900000000000004</v>
      </c>
      <c r="AF99" s="15" t="s">
        <v>56</v>
      </c>
    </row>
    <row r="100" spans="1:32" ht="15.75" customHeight="1">
      <c r="A100" s="21">
        <v>97</v>
      </c>
      <c r="B100" s="21">
        <v>5.9</v>
      </c>
      <c r="C100" s="21">
        <v>6.4</v>
      </c>
      <c r="D100">
        <v>6.8</v>
      </c>
      <c r="E100" s="21" t="s">
        <v>67</v>
      </c>
      <c r="F100" s="23">
        <v>9.4</v>
      </c>
      <c r="G100" s="23" t="s">
        <v>58</v>
      </c>
      <c r="H100" s="57">
        <v>10.5</v>
      </c>
      <c r="I100" s="15" t="s">
        <v>58</v>
      </c>
      <c r="J100" s="52">
        <v>9.9</v>
      </c>
      <c r="K100" s="15" t="s">
        <v>58</v>
      </c>
      <c r="L100" s="35">
        <v>6.6</v>
      </c>
      <c r="M100" s="15" t="s">
        <v>56</v>
      </c>
      <c r="N100" s="35">
        <v>4.0999999999999996</v>
      </c>
      <c r="P100" s="45">
        <v>19.3</v>
      </c>
      <c r="Q100" s="15" t="s">
        <v>60</v>
      </c>
      <c r="R100" s="35">
        <v>4</v>
      </c>
      <c r="S100" s="15" t="s">
        <v>56</v>
      </c>
      <c r="T100" s="35">
        <v>4.2300000000000004</v>
      </c>
      <c r="U100" s="15" t="s">
        <v>56</v>
      </c>
      <c r="V100" s="53">
        <v>30.46</v>
      </c>
      <c r="W100" s="15" t="s">
        <v>60</v>
      </c>
      <c r="X100" s="49">
        <v>4.09</v>
      </c>
      <c r="Y100" s="15" t="s">
        <v>56</v>
      </c>
      <c r="AC100" s="34">
        <v>5.44</v>
      </c>
      <c r="AD100" s="15" t="s">
        <v>56</v>
      </c>
      <c r="AE100" s="58">
        <v>28.17</v>
      </c>
      <c r="AF100" s="15" t="s">
        <v>60</v>
      </c>
    </row>
    <row r="101" spans="1:32" ht="15.75" customHeight="1">
      <c r="A101" s="21">
        <v>98</v>
      </c>
      <c r="B101" s="21">
        <v>5.5</v>
      </c>
      <c r="C101" s="21">
        <v>5.6</v>
      </c>
      <c r="D101">
        <v>6.4</v>
      </c>
      <c r="E101" s="21" t="s">
        <v>67</v>
      </c>
      <c r="F101" s="32">
        <v>8.3000000000000007</v>
      </c>
      <c r="G101" s="21" t="s">
        <v>56</v>
      </c>
      <c r="H101" s="57">
        <v>9.1</v>
      </c>
      <c r="I101" s="15" t="s">
        <v>58</v>
      </c>
      <c r="J101" s="52">
        <v>9.1</v>
      </c>
      <c r="K101" s="15" t="s">
        <v>58</v>
      </c>
      <c r="L101" s="35">
        <v>8.6999999999999993</v>
      </c>
      <c r="M101" s="15" t="s">
        <v>56</v>
      </c>
      <c r="N101" s="35">
        <v>4</v>
      </c>
      <c r="P101" s="35">
        <v>6.4</v>
      </c>
      <c r="R101" s="35">
        <v>4</v>
      </c>
      <c r="S101" s="15" t="s">
        <v>56</v>
      </c>
      <c r="T101" s="35">
        <v>4.18</v>
      </c>
      <c r="U101" s="15" t="s">
        <v>56</v>
      </c>
      <c r="V101" s="53">
        <v>25.17</v>
      </c>
      <c r="W101" s="15" t="s">
        <v>60</v>
      </c>
      <c r="X101" s="49">
        <v>4.13</v>
      </c>
      <c r="Y101" s="15" t="s">
        <v>56</v>
      </c>
      <c r="AC101" s="34">
        <v>4.16</v>
      </c>
      <c r="AD101" s="15" t="s">
        <v>56</v>
      </c>
      <c r="AE101" s="49">
        <v>4.2300000000000004</v>
      </c>
      <c r="AF101" s="15" t="s">
        <v>56</v>
      </c>
    </row>
    <row r="102" spans="1:32" ht="15.75" customHeight="1">
      <c r="A102" s="21">
        <v>99</v>
      </c>
      <c r="B102" s="21">
        <v>5.4</v>
      </c>
      <c r="C102" s="21">
        <v>5.7</v>
      </c>
      <c r="D102">
        <v>5.9</v>
      </c>
      <c r="E102" s="21" t="s">
        <v>67</v>
      </c>
      <c r="F102" s="32">
        <v>7.9</v>
      </c>
      <c r="G102" s="21" t="s">
        <v>56</v>
      </c>
      <c r="H102" s="33">
        <v>8.6</v>
      </c>
      <c r="I102" s="15" t="s">
        <v>56</v>
      </c>
      <c r="J102" s="34">
        <v>8.1</v>
      </c>
      <c r="K102" s="15" t="s">
        <v>56</v>
      </c>
      <c r="L102" s="35">
        <v>5.7</v>
      </c>
      <c r="M102" s="15" t="s">
        <v>56</v>
      </c>
      <c r="N102" s="35">
        <v>4.0999999999999996</v>
      </c>
      <c r="P102" s="35">
        <v>4</v>
      </c>
      <c r="R102" s="35">
        <v>3.9</v>
      </c>
      <c r="S102" s="15" t="s">
        <v>56</v>
      </c>
      <c r="T102" s="35">
        <v>4.07</v>
      </c>
      <c r="U102" s="15" t="s">
        <v>56</v>
      </c>
      <c r="V102" s="34">
        <v>5.2</v>
      </c>
      <c r="W102" s="15" t="s">
        <v>56</v>
      </c>
      <c r="X102" s="49">
        <v>4.1900000000000004</v>
      </c>
      <c r="Y102" s="15" t="s">
        <v>56</v>
      </c>
      <c r="AC102" s="34">
        <v>4.2</v>
      </c>
      <c r="AD102" s="15" t="s">
        <v>56</v>
      </c>
      <c r="AE102" s="49">
        <v>4.25</v>
      </c>
      <c r="AF102" s="15" t="s">
        <v>56</v>
      </c>
    </row>
    <row r="103" spans="1:32" ht="15.75" customHeight="1">
      <c r="A103" s="21">
        <v>100</v>
      </c>
      <c r="B103" s="21">
        <v>5.2</v>
      </c>
      <c r="C103" s="21">
        <v>5.8</v>
      </c>
      <c r="D103">
        <v>5.7</v>
      </c>
      <c r="E103" s="21" t="s">
        <v>67</v>
      </c>
      <c r="F103" s="32">
        <v>8.6</v>
      </c>
      <c r="G103" s="21" t="s">
        <v>56</v>
      </c>
      <c r="H103" s="33">
        <v>7</v>
      </c>
      <c r="I103" s="15" t="s">
        <v>56</v>
      </c>
      <c r="J103" s="52">
        <v>9.3000000000000007</v>
      </c>
      <c r="K103" s="15" t="s">
        <v>58</v>
      </c>
      <c r="L103" s="35">
        <v>5.5</v>
      </c>
      <c r="M103" s="15" t="s">
        <v>56</v>
      </c>
      <c r="N103" s="35">
        <v>4.0999999999999996</v>
      </c>
      <c r="P103" s="35">
        <v>4.0999999999999996</v>
      </c>
      <c r="R103" s="35">
        <v>3.9</v>
      </c>
      <c r="S103" s="15" t="s">
        <v>56</v>
      </c>
      <c r="T103" s="35">
        <v>4.13</v>
      </c>
      <c r="U103" s="15" t="s">
        <v>56</v>
      </c>
      <c r="V103" s="34">
        <v>6</v>
      </c>
      <c r="W103" s="15" t="s">
        <v>56</v>
      </c>
      <c r="X103" s="49">
        <v>4.16</v>
      </c>
      <c r="Y103" s="15" t="s">
        <v>56</v>
      </c>
      <c r="AC103" s="34">
        <v>5.61</v>
      </c>
      <c r="AD103" s="15" t="s">
        <v>56</v>
      </c>
      <c r="AE103" s="49">
        <v>4.0199999999999996</v>
      </c>
      <c r="AF103" s="15" t="s">
        <v>56</v>
      </c>
    </row>
    <row r="104" spans="1:32" ht="15.75" customHeight="1">
      <c r="A104" s="21">
        <v>101</v>
      </c>
      <c r="B104" s="21">
        <v>5.5</v>
      </c>
      <c r="C104" s="21">
        <v>5.5</v>
      </c>
      <c r="D104">
        <v>6.3</v>
      </c>
      <c r="E104" s="21" t="s">
        <v>67</v>
      </c>
      <c r="F104" s="32">
        <v>7.4</v>
      </c>
      <c r="G104" s="21" t="s">
        <v>56</v>
      </c>
      <c r="H104" s="33">
        <v>7.8</v>
      </c>
      <c r="I104" s="15" t="s">
        <v>56</v>
      </c>
      <c r="J104" s="34">
        <v>7.8</v>
      </c>
      <c r="K104" s="15" t="s">
        <v>56</v>
      </c>
      <c r="L104" s="35">
        <v>4.8</v>
      </c>
      <c r="M104" s="15" t="s">
        <v>56</v>
      </c>
      <c r="N104" s="35">
        <v>3.8</v>
      </c>
      <c r="P104" s="35">
        <v>5.4</v>
      </c>
      <c r="R104" s="35">
        <v>3.8</v>
      </c>
      <c r="S104" s="15" t="s">
        <v>56</v>
      </c>
      <c r="T104" s="35">
        <v>4.04</v>
      </c>
      <c r="U104" s="15" t="s">
        <v>56</v>
      </c>
      <c r="V104" s="34">
        <v>6.38</v>
      </c>
      <c r="W104" s="15" t="s">
        <v>56</v>
      </c>
      <c r="X104" s="49">
        <v>4.1500000000000004</v>
      </c>
      <c r="Y104" s="15" t="s">
        <v>56</v>
      </c>
      <c r="AC104" s="34">
        <v>4.04</v>
      </c>
      <c r="AD104" s="15" t="s">
        <v>56</v>
      </c>
      <c r="AE104" s="49">
        <v>4</v>
      </c>
      <c r="AF104" s="15" t="s">
        <v>56</v>
      </c>
    </row>
    <row r="105" spans="1:32" ht="15.75" customHeight="1">
      <c r="A105" s="21">
        <v>102</v>
      </c>
      <c r="B105" s="21">
        <v>5</v>
      </c>
      <c r="C105" s="21">
        <v>5.7</v>
      </c>
      <c r="D105">
        <v>5.5</v>
      </c>
      <c r="E105" s="21" t="s">
        <v>67</v>
      </c>
      <c r="F105" s="32">
        <v>8</v>
      </c>
      <c r="G105" s="21" t="s">
        <v>56</v>
      </c>
      <c r="H105" s="33">
        <v>7.8</v>
      </c>
      <c r="I105" s="15" t="s">
        <v>56</v>
      </c>
      <c r="J105" s="34">
        <v>8.6999999999999993</v>
      </c>
      <c r="K105" s="15" t="s">
        <v>56</v>
      </c>
      <c r="L105" s="35">
        <v>4.7</v>
      </c>
      <c r="M105" s="15" t="s">
        <v>56</v>
      </c>
      <c r="N105" s="45">
        <v>62.5</v>
      </c>
      <c r="O105" s="15" t="s">
        <v>60</v>
      </c>
      <c r="P105" s="35">
        <v>8.4</v>
      </c>
      <c r="R105" s="35">
        <v>3.8</v>
      </c>
      <c r="S105" s="15" t="s">
        <v>56</v>
      </c>
      <c r="T105" s="35">
        <v>9999</v>
      </c>
      <c r="U105" s="15" t="s">
        <v>60</v>
      </c>
      <c r="V105" s="53">
        <v>9999</v>
      </c>
      <c r="W105" s="15" t="s">
        <v>60</v>
      </c>
      <c r="X105" s="49">
        <v>4.24</v>
      </c>
      <c r="Y105" s="15" t="s">
        <v>56</v>
      </c>
      <c r="AC105" s="34">
        <v>4.3</v>
      </c>
      <c r="AD105" s="15" t="s">
        <v>56</v>
      </c>
      <c r="AE105" s="49">
        <v>4.17</v>
      </c>
      <c r="AF105" s="15" t="s">
        <v>56</v>
      </c>
    </row>
    <row r="106" spans="1:32" ht="15.75" customHeight="1">
      <c r="A106" s="21">
        <v>103</v>
      </c>
      <c r="B106" s="21">
        <v>5.4</v>
      </c>
      <c r="C106" s="21">
        <v>5.7</v>
      </c>
      <c r="D106">
        <v>5.8</v>
      </c>
      <c r="E106" s="21" t="s">
        <v>67</v>
      </c>
      <c r="F106" s="32">
        <v>8.1</v>
      </c>
      <c r="G106" s="21" t="s">
        <v>56</v>
      </c>
      <c r="H106" s="33">
        <v>7.4</v>
      </c>
      <c r="I106" s="15" t="s">
        <v>56</v>
      </c>
      <c r="J106" s="52">
        <v>9</v>
      </c>
      <c r="K106" s="15" t="s">
        <v>58</v>
      </c>
      <c r="L106" s="35">
        <v>8.4</v>
      </c>
      <c r="M106" s="15" t="s">
        <v>56</v>
      </c>
      <c r="N106" s="45">
        <v>93.9</v>
      </c>
      <c r="O106" s="15" t="s">
        <v>60</v>
      </c>
      <c r="P106" s="45">
        <v>14.4</v>
      </c>
      <c r="Q106" s="15" t="s">
        <v>60</v>
      </c>
      <c r="R106" s="35">
        <v>3.9</v>
      </c>
      <c r="S106" s="15" t="s">
        <v>56</v>
      </c>
      <c r="T106" s="35">
        <v>3.96</v>
      </c>
      <c r="U106" s="15" t="s">
        <v>56</v>
      </c>
      <c r="V106" s="53">
        <v>9999</v>
      </c>
      <c r="W106" s="15" t="s">
        <v>60</v>
      </c>
      <c r="X106" s="49">
        <v>4.12</v>
      </c>
      <c r="Y106" s="15" t="s">
        <v>56</v>
      </c>
      <c r="AC106" s="34">
        <v>6.02</v>
      </c>
      <c r="AD106" s="15" t="s">
        <v>56</v>
      </c>
      <c r="AE106" s="49">
        <v>5.61</v>
      </c>
      <c r="AF106" s="15" t="s">
        <v>56</v>
      </c>
    </row>
    <row r="107" spans="1:32" ht="15.75" customHeight="1">
      <c r="A107" s="21">
        <v>104</v>
      </c>
      <c r="B107" s="21">
        <v>4.9000000000000004</v>
      </c>
      <c r="C107" s="21">
        <v>6</v>
      </c>
      <c r="D107">
        <v>6</v>
      </c>
      <c r="E107" s="21" t="s">
        <v>67</v>
      </c>
      <c r="F107" s="32">
        <v>8.5</v>
      </c>
      <c r="G107" s="21" t="s">
        <v>56</v>
      </c>
      <c r="H107" s="33">
        <v>8.1999999999999993</v>
      </c>
      <c r="I107" s="15" t="s">
        <v>56</v>
      </c>
      <c r="J107" s="52">
        <v>9.5</v>
      </c>
      <c r="K107" s="15" t="s">
        <v>58</v>
      </c>
      <c r="L107" s="35">
        <v>5.9</v>
      </c>
      <c r="M107" s="15" t="s">
        <v>56</v>
      </c>
      <c r="N107" s="45">
        <v>37.799999999999997</v>
      </c>
      <c r="O107" s="15" t="s">
        <v>60</v>
      </c>
      <c r="P107" s="35">
        <v>3.8</v>
      </c>
      <c r="R107" s="35">
        <v>5</v>
      </c>
      <c r="S107" s="15" t="s">
        <v>56</v>
      </c>
      <c r="T107" s="35">
        <v>4.01</v>
      </c>
      <c r="U107" s="15" t="s">
        <v>56</v>
      </c>
      <c r="V107" s="53">
        <v>16.22</v>
      </c>
      <c r="W107" s="15" t="s">
        <v>60</v>
      </c>
      <c r="X107" s="49">
        <v>4.1900000000000004</v>
      </c>
      <c r="Y107" s="15" t="s">
        <v>56</v>
      </c>
      <c r="AC107" s="34">
        <v>4.8499999999999996</v>
      </c>
      <c r="AD107" s="15" t="s">
        <v>56</v>
      </c>
      <c r="AE107" s="49">
        <v>4.3099999999999996</v>
      </c>
      <c r="AF107" s="15" t="s">
        <v>56</v>
      </c>
    </row>
    <row r="108" spans="1:32" ht="15.75" customHeight="1">
      <c r="A108" s="21">
        <v>105</v>
      </c>
      <c r="B108" s="21">
        <v>5.9</v>
      </c>
      <c r="C108" s="21">
        <v>6.3</v>
      </c>
      <c r="D108">
        <v>6.3</v>
      </c>
      <c r="E108" s="21" t="s">
        <v>67</v>
      </c>
      <c r="F108" s="32">
        <v>8.4</v>
      </c>
      <c r="G108" s="21" t="s">
        <v>56</v>
      </c>
      <c r="H108" s="33">
        <v>8.6</v>
      </c>
      <c r="I108" s="15" t="s">
        <v>56</v>
      </c>
      <c r="J108" s="52">
        <v>10.8</v>
      </c>
      <c r="K108" s="15" t="s">
        <v>58</v>
      </c>
      <c r="L108" s="35">
        <v>3.9</v>
      </c>
      <c r="M108" s="15" t="s">
        <v>56</v>
      </c>
      <c r="N108" s="35">
        <v>4.7</v>
      </c>
      <c r="P108" s="35">
        <v>4.0999999999999996</v>
      </c>
      <c r="R108" s="35">
        <v>3.7</v>
      </c>
      <c r="S108" s="15" t="s">
        <v>56</v>
      </c>
      <c r="T108" s="55"/>
      <c r="U108" s="15" t="s">
        <v>106</v>
      </c>
      <c r="V108" s="34">
        <v>4.54</v>
      </c>
      <c r="W108" s="15" t="s">
        <v>56</v>
      </c>
      <c r="X108" s="58">
        <v>9999</v>
      </c>
      <c r="Y108" s="15" t="s">
        <v>60</v>
      </c>
      <c r="AC108" s="34">
        <v>5.59</v>
      </c>
      <c r="AD108" s="15" t="s">
        <v>56</v>
      </c>
      <c r="AE108" s="49">
        <v>4.25</v>
      </c>
      <c r="AF108" s="15" t="s">
        <v>56</v>
      </c>
    </row>
    <row r="109" spans="1:32" ht="15.75" customHeight="1">
      <c r="A109" s="21">
        <v>106</v>
      </c>
      <c r="B109" s="21">
        <v>5</v>
      </c>
      <c r="C109" s="21">
        <v>5.8</v>
      </c>
      <c r="D109">
        <v>6.5</v>
      </c>
      <c r="E109" s="21" t="s">
        <v>67</v>
      </c>
      <c r="F109" s="32">
        <v>7.2</v>
      </c>
      <c r="G109" s="21" t="s">
        <v>56</v>
      </c>
      <c r="H109" s="57">
        <v>9.4</v>
      </c>
      <c r="I109" s="15" t="s">
        <v>58</v>
      </c>
      <c r="J109" s="34">
        <v>8.5</v>
      </c>
      <c r="K109" s="15" t="s">
        <v>56</v>
      </c>
      <c r="L109" s="35">
        <v>4.5999999999999996</v>
      </c>
      <c r="M109" s="15" t="s">
        <v>56</v>
      </c>
      <c r="N109" s="35">
        <v>4.4000000000000004</v>
      </c>
      <c r="P109" s="35">
        <v>4.0999999999999996</v>
      </c>
      <c r="R109" s="35">
        <v>3.9</v>
      </c>
      <c r="S109" s="15" t="s">
        <v>56</v>
      </c>
      <c r="T109" s="35">
        <v>16.91</v>
      </c>
      <c r="U109" s="15" t="s">
        <v>60</v>
      </c>
      <c r="V109" s="34">
        <v>5.5</v>
      </c>
      <c r="W109" s="15" t="s">
        <v>56</v>
      </c>
      <c r="X109" s="49">
        <v>6.3</v>
      </c>
      <c r="Y109" s="15" t="s">
        <v>56</v>
      </c>
      <c r="AC109" s="34">
        <v>5.36</v>
      </c>
      <c r="AD109" s="15" t="s">
        <v>56</v>
      </c>
      <c r="AE109" s="49">
        <v>4.03</v>
      </c>
      <c r="AF109" s="15" t="s">
        <v>56</v>
      </c>
    </row>
    <row r="110" spans="1:32" ht="15.75" customHeight="1">
      <c r="A110" s="21">
        <v>107</v>
      </c>
      <c r="B110" s="21">
        <v>5.6</v>
      </c>
      <c r="C110" s="21">
        <v>5.8</v>
      </c>
      <c r="D110">
        <v>5.9</v>
      </c>
      <c r="E110" s="21" t="s">
        <v>67</v>
      </c>
      <c r="F110" s="32">
        <v>7.7</v>
      </c>
      <c r="G110" s="21" t="s">
        <v>56</v>
      </c>
      <c r="H110" s="57">
        <v>9.8000000000000007</v>
      </c>
      <c r="I110" s="15" t="s">
        <v>58</v>
      </c>
      <c r="J110" s="52">
        <v>9.1999999999999993</v>
      </c>
      <c r="K110" s="15" t="s">
        <v>58</v>
      </c>
      <c r="L110" s="35">
        <v>5.4</v>
      </c>
      <c r="M110" s="15" t="s">
        <v>56</v>
      </c>
      <c r="N110" s="35">
        <v>4.5</v>
      </c>
      <c r="P110" s="35">
        <v>4.3</v>
      </c>
      <c r="R110" s="35">
        <v>7.2</v>
      </c>
      <c r="S110" s="15" t="s">
        <v>56</v>
      </c>
      <c r="T110" s="35">
        <v>3.95</v>
      </c>
      <c r="U110" s="15" t="s">
        <v>56</v>
      </c>
      <c r="V110" s="53">
        <v>9999</v>
      </c>
      <c r="W110" s="15" t="s">
        <v>60</v>
      </c>
      <c r="X110" s="49">
        <v>4.78</v>
      </c>
      <c r="Y110" s="15" t="s">
        <v>56</v>
      </c>
      <c r="AC110" s="34">
        <v>5.31</v>
      </c>
      <c r="AD110" s="15" t="s">
        <v>56</v>
      </c>
      <c r="AE110" s="49">
        <v>4.21</v>
      </c>
      <c r="AF110" s="15" t="s">
        <v>56</v>
      </c>
    </row>
    <row r="111" spans="1:32" ht="15.75" customHeight="1">
      <c r="A111" s="21">
        <v>108</v>
      </c>
      <c r="B111" s="21">
        <v>5.2</v>
      </c>
      <c r="C111" s="21">
        <v>5.7</v>
      </c>
      <c r="D111">
        <v>6.1</v>
      </c>
      <c r="E111" s="21" t="s">
        <v>67</v>
      </c>
      <c r="F111" s="32">
        <v>7.7</v>
      </c>
      <c r="G111" s="21" t="s">
        <v>56</v>
      </c>
      <c r="H111" s="33">
        <v>8.1999999999999993</v>
      </c>
      <c r="I111" s="15" t="s">
        <v>56</v>
      </c>
      <c r="J111" s="52">
        <v>9.5</v>
      </c>
      <c r="K111" s="15" t="s">
        <v>58</v>
      </c>
      <c r="L111" s="35">
        <v>4.5999999999999996</v>
      </c>
      <c r="M111" s="15" t="s">
        <v>56</v>
      </c>
      <c r="N111" s="35">
        <v>5.9</v>
      </c>
      <c r="P111" s="35">
        <v>3.8</v>
      </c>
      <c r="R111" s="35">
        <v>5.6</v>
      </c>
      <c r="S111" s="15" t="s">
        <v>56</v>
      </c>
      <c r="T111" s="35">
        <v>4.1900000000000004</v>
      </c>
      <c r="U111" s="15" t="s">
        <v>56</v>
      </c>
      <c r="V111" s="34">
        <v>4.51</v>
      </c>
      <c r="W111" s="15" t="s">
        <v>56</v>
      </c>
      <c r="X111" s="58">
        <v>9999</v>
      </c>
      <c r="Y111" s="15" t="s">
        <v>60</v>
      </c>
      <c r="AC111" s="34">
        <v>4.16</v>
      </c>
      <c r="AD111" s="15" t="s">
        <v>56</v>
      </c>
      <c r="AE111" s="49">
        <v>4.22</v>
      </c>
      <c r="AF111" s="15" t="s">
        <v>56</v>
      </c>
    </row>
    <row r="112" spans="1:32" ht="15.75" customHeight="1">
      <c r="A112" s="21">
        <v>109</v>
      </c>
      <c r="B112" s="21">
        <v>5.4</v>
      </c>
      <c r="C112" s="21">
        <v>5</v>
      </c>
      <c r="D112">
        <v>6.1</v>
      </c>
      <c r="E112" s="21" t="s">
        <v>67</v>
      </c>
      <c r="F112" s="32">
        <v>7.2</v>
      </c>
      <c r="G112" s="21" t="s">
        <v>56</v>
      </c>
      <c r="H112" s="33">
        <v>8.3000000000000007</v>
      </c>
      <c r="I112" s="15" t="s">
        <v>56</v>
      </c>
      <c r="J112" s="34">
        <v>7.5</v>
      </c>
      <c r="K112" s="15" t="s">
        <v>56</v>
      </c>
      <c r="L112" s="35">
        <v>4</v>
      </c>
      <c r="M112" s="15" t="s">
        <v>56</v>
      </c>
      <c r="N112" s="35">
        <v>5.4</v>
      </c>
      <c r="P112" s="35">
        <v>6</v>
      </c>
      <c r="R112" s="35">
        <v>4</v>
      </c>
      <c r="S112" s="15" t="s">
        <v>56</v>
      </c>
      <c r="T112" s="35">
        <v>4.0999999999999996</v>
      </c>
      <c r="U112" s="15" t="s">
        <v>56</v>
      </c>
      <c r="V112" s="34">
        <v>6.25</v>
      </c>
      <c r="W112" s="15" t="s">
        <v>56</v>
      </c>
      <c r="X112" s="58">
        <v>9999</v>
      </c>
      <c r="Y112" s="15" t="s">
        <v>60</v>
      </c>
      <c r="AC112" s="34">
        <v>4.29</v>
      </c>
      <c r="AD112" s="15" t="s">
        <v>56</v>
      </c>
      <c r="AE112" s="49">
        <v>4.0599999999999996</v>
      </c>
      <c r="AF112" s="15" t="s">
        <v>56</v>
      </c>
    </row>
    <row r="113" spans="1:32" ht="15.75" customHeight="1">
      <c r="A113" s="21">
        <v>110</v>
      </c>
      <c r="B113" s="21">
        <v>5.4</v>
      </c>
      <c r="C113" s="21">
        <v>6.3</v>
      </c>
      <c r="D113">
        <v>5.5</v>
      </c>
      <c r="E113" s="21" t="s">
        <v>67</v>
      </c>
      <c r="F113" s="23">
        <v>9.8000000000000007</v>
      </c>
      <c r="G113" s="23" t="s">
        <v>58</v>
      </c>
      <c r="H113" s="33">
        <v>8.5</v>
      </c>
      <c r="I113" s="15" t="s">
        <v>56</v>
      </c>
      <c r="J113" s="52">
        <v>11.6</v>
      </c>
      <c r="K113" s="15" t="s">
        <v>58</v>
      </c>
      <c r="L113" s="35">
        <v>4.2</v>
      </c>
      <c r="M113" s="15" t="s">
        <v>56</v>
      </c>
      <c r="N113" s="35">
        <v>4.3</v>
      </c>
      <c r="P113" s="35">
        <v>5.4</v>
      </c>
      <c r="R113" s="35">
        <v>4</v>
      </c>
      <c r="S113" s="15" t="s">
        <v>56</v>
      </c>
      <c r="T113" s="35">
        <v>5.81</v>
      </c>
      <c r="U113" s="15" t="s">
        <v>56</v>
      </c>
      <c r="V113" s="34">
        <v>6.44</v>
      </c>
      <c r="W113" s="15" t="s">
        <v>56</v>
      </c>
      <c r="X113" s="49">
        <v>7.27</v>
      </c>
      <c r="Y113" s="15" t="s">
        <v>56</v>
      </c>
      <c r="AC113" s="34">
        <v>5.33</v>
      </c>
      <c r="AD113" s="15" t="s">
        <v>56</v>
      </c>
      <c r="AE113" s="49">
        <v>4.21</v>
      </c>
      <c r="AF113" s="15" t="s">
        <v>56</v>
      </c>
    </row>
    <row r="114" spans="1:32" ht="15.75" customHeight="1">
      <c r="A114" s="21">
        <v>111</v>
      </c>
      <c r="B114" s="21">
        <v>5.6</v>
      </c>
      <c r="C114" s="21">
        <v>5.2</v>
      </c>
      <c r="D114">
        <v>7</v>
      </c>
      <c r="E114" s="21" t="s">
        <v>67</v>
      </c>
      <c r="F114" s="32">
        <v>7.1</v>
      </c>
      <c r="G114" s="21" t="s">
        <v>56</v>
      </c>
      <c r="H114" s="33">
        <v>7.5</v>
      </c>
      <c r="I114" s="15" t="s">
        <v>56</v>
      </c>
      <c r="J114" s="34">
        <v>8.6999999999999993</v>
      </c>
      <c r="K114" s="15" t="s">
        <v>56</v>
      </c>
      <c r="L114" s="35">
        <v>5.3</v>
      </c>
      <c r="M114" s="15" t="s">
        <v>56</v>
      </c>
      <c r="N114" s="35">
        <v>3.9</v>
      </c>
      <c r="P114" s="35">
        <v>4.2</v>
      </c>
      <c r="R114" s="35">
        <v>4.0999999999999996</v>
      </c>
      <c r="S114" s="15" t="s">
        <v>56</v>
      </c>
      <c r="T114" s="35">
        <v>4.07</v>
      </c>
      <c r="U114" s="15" t="s">
        <v>56</v>
      </c>
      <c r="V114" s="34">
        <v>5.45</v>
      </c>
      <c r="W114" s="15" t="s">
        <v>56</v>
      </c>
      <c r="X114" s="58">
        <v>9999</v>
      </c>
      <c r="Y114" s="15" t="s">
        <v>60</v>
      </c>
      <c r="AC114" s="34">
        <v>4.18</v>
      </c>
      <c r="AD114" s="15" t="s">
        <v>56</v>
      </c>
      <c r="AE114" s="49">
        <v>4.2699999999999996</v>
      </c>
      <c r="AF114" s="15" t="s">
        <v>56</v>
      </c>
    </row>
    <row r="115" spans="1:32" ht="15.75" customHeight="1">
      <c r="A115" s="21">
        <v>112</v>
      </c>
      <c r="B115" s="21">
        <v>5.2</v>
      </c>
      <c r="C115" s="21">
        <v>5.7</v>
      </c>
      <c r="D115">
        <v>5.7</v>
      </c>
      <c r="E115" s="21" t="s">
        <v>67</v>
      </c>
      <c r="F115" s="32">
        <v>7.9</v>
      </c>
      <c r="G115" s="21" t="s">
        <v>56</v>
      </c>
      <c r="H115" s="57">
        <v>11</v>
      </c>
      <c r="I115" s="15" t="s">
        <v>58</v>
      </c>
      <c r="J115" s="52">
        <v>9.5</v>
      </c>
      <c r="K115" s="15" t="s">
        <v>58</v>
      </c>
      <c r="L115" s="35">
        <v>5.6</v>
      </c>
      <c r="M115" s="15" t="s">
        <v>56</v>
      </c>
      <c r="N115" s="35">
        <v>4.9000000000000004</v>
      </c>
      <c r="P115" s="35">
        <v>4</v>
      </c>
      <c r="R115" s="35">
        <v>4.0999999999999996</v>
      </c>
      <c r="S115" s="15" t="s">
        <v>56</v>
      </c>
      <c r="T115" s="35">
        <v>3.97</v>
      </c>
      <c r="U115" s="15" t="s">
        <v>56</v>
      </c>
      <c r="V115" s="34">
        <v>5.48</v>
      </c>
      <c r="W115" s="15" t="s">
        <v>56</v>
      </c>
      <c r="X115" s="58">
        <v>14</v>
      </c>
      <c r="Y115" s="15" t="s">
        <v>60</v>
      </c>
      <c r="AC115" s="34">
        <v>4.1399999999999997</v>
      </c>
      <c r="AD115" s="15" t="s">
        <v>56</v>
      </c>
      <c r="AE115" s="49">
        <v>4.18</v>
      </c>
      <c r="AF115" s="15" t="s">
        <v>56</v>
      </c>
    </row>
    <row r="116" spans="1:32" ht="15.75" customHeight="1">
      <c r="A116" s="21">
        <v>113</v>
      </c>
      <c r="B116" s="21">
        <v>6.2</v>
      </c>
      <c r="C116" s="21">
        <v>5.3</v>
      </c>
      <c r="D116">
        <v>6.2</v>
      </c>
      <c r="E116" s="21" t="s">
        <v>67</v>
      </c>
      <c r="F116" s="32">
        <v>7.3</v>
      </c>
      <c r="G116" s="21" t="s">
        <v>56</v>
      </c>
      <c r="H116" s="57">
        <v>9</v>
      </c>
      <c r="I116" s="15" t="s">
        <v>58</v>
      </c>
      <c r="J116" s="52">
        <v>9.3000000000000007</v>
      </c>
      <c r="K116" s="15" t="s">
        <v>58</v>
      </c>
      <c r="L116" s="35">
        <v>4.5999999999999996</v>
      </c>
      <c r="M116" s="15" t="s">
        <v>56</v>
      </c>
      <c r="N116" s="35">
        <v>5</v>
      </c>
      <c r="P116" s="35">
        <v>4.3</v>
      </c>
      <c r="R116" s="35">
        <v>4</v>
      </c>
      <c r="S116" s="15" t="s">
        <v>56</v>
      </c>
      <c r="T116" s="35">
        <v>4</v>
      </c>
      <c r="U116" s="15" t="s">
        <v>56</v>
      </c>
      <c r="V116" s="34">
        <v>5.46</v>
      </c>
      <c r="W116" s="15" t="s">
        <v>56</v>
      </c>
      <c r="X116" s="58">
        <v>9999</v>
      </c>
      <c r="Y116" s="15" t="s">
        <v>60</v>
      </c>
      <c r="AC116" s="34">
        <v>4.96</v>
      </c>
      <c r="AD116" s="15" t="s">
        <v>56</v>
      </c>
      <c r="AE116" s="49">
        <v>4.01</v>
      </c>
      <c r="AF116" s="15" t="s">
        <v>56</v>
      </c>
    </row>
    <row r="117" spans="1:32" ht="15.75" customHeight="1">
      <c r="A117" s="21">
        <v>114</v>
      </c>
      <c r="B117" s="21">
        <v>5.6</v>
      </c>
      <c r="C117" s="21">
        <v>6</v>
      </c>
      <c r="D117">
        <v>5.8</v>
      </c>
      <c r="E117" s="21" t="s">
        <v>67</v>
      </c>
      <c r="F117" s="32">
        <v>7.5</v>
      </c>
      <c r="G117" s="21" t="s">
        <v>56</v>
      </c>
      <c r="H117" s="33">
        <v>7.8</v>
      </c>
      <c r="I117" s="15" t="s">
        <v>56</v>
      </c>
      <c r="J117" s="52">
        <v>9.4</v>
      </c>
      <c r="K117" s="15" t="s">
        <v>58</v>
      </c>
      <c r="L117" s="35">
        <v>4</v>
      </c>
      <c r="M117" s="15" t="s">
        <v>56</v>
      </c>
      <c r="N117" s="35">
        <v>4.5999999999999996</v>
      </c>
      <c r="P117" s="35">
        <v>4.9000000000000004</v>
      </c>
      <c r="R117" s="35">
        <v>4.2</v>
      </c>
      <c r="S117" s="15" t="s">
        <v>56</v>
      </c>
      <c r="T117" s="35">
        <v>4.17</v>
      </c>
      <c r="U117" s="15" t="s">
        <v>56</v>
      </c>
      <c r="V117" s="34">
        <v>4.8499999999999996</v>
      </c>
      <c r="W117" s="15" t="s">
        <v>56</v>
      </c>
      <c r="X117" s="58">
        <v>9999</v>
      </c>
      <c r="Y117" s="15" t="s">
        <v>60</v>
      </c>
      <c r="AC117" s="34">
        <v>4.55</v>
      </c>
      <c r="AD117" s="15" t="s">
        <v>56</v>
      </c>
      <c r="AE117" s="49">
        <v>5.78</v>
      </c>
      <c r="AF117" s="15" t="s">
        <v>56</v>
      </c>
    </row>
    <row r="118" spans="1:32" ht="15.75" customHeight="1">
      <c r="A118" s="21">
        <v>115</v>
      </c>
      <c r="B118" s="21">
        <v>6.2</v>
      </c>
      <c r="C118" s="21">
        <v>6.2</v>
      </c>
      <c r="D118">
        <v>6.4</v>
      </c>
      <c r="E118" s="21" t="s">
        <v>67</v>
      </c>
      <c r="F118" s="23">
        <v>9.6999999999999993</v>
      </c>
      <c r="G118" s="23" t="s">
        <v>58</v>
      </c>
      <c r="H118" s="33">
        <v>7.8</v>
      </c>
      <c r="I118" s="15" t="s">
        <v>56</v>
      </c>
      <c r="J118" s="53">
        <v>12</v>
      </c>
      <c r="K118" s="15" t="s">
        <v>125</v>
      </c>
      <c r="L118" s="35">
        <v>4.3</v>
      </c>
      <c r="M118" s="15" t="s">
        <v>56</v>
      </c>
      <c r="N118" s="35">
        <v>5.3</v>
      </c>
      <c r="P118" s="35">
        <v>4.2</v>
      </c>
      <c r="R118" s="35">
        <v>4</v>
      </c>
      <c r="S118" s="15" t="s">
        <v>56</v>
      </c>
      <c r="T118" s="35">
        <v>4.0199999999999996</v>
      </c>
      <c r="U118" s="15" t="s">
        <v>56</v>
      </c>
      <c r="V118" s="34">
        <v>5.49</v>
      </c>
      <c r="W118" s="15" t="s">
        <v>56</v>
      </c>
      <c r="X118" s="49">
        <v>4.3899999999999997</v>
      </c>
      <c r="Y118" s="15" t="s">
        <v>56</v>
      </c>
      <c r="AC118" s="34">
        <v>5.0999999999999996</v>
      </c>
      <c r="AD118" s="15" t="s">
        <v>56</v>
      </c>
      <c r="AE118" s="49">
        <v>5.96</v>
      </c>
      <c r="AF118" s="15" t="s">
        <v>56</v>
      </c>
    </row>
    <row r="119" spans="1:32" ht="15.75" customHeight="1">
      <c r="A119" s="21">
        <v>116</v>
      </c>
      <c r="B119" s="21">
        <v>5.7</v>
      </c>
      <c r="C119" s="21">
        <v>6</v>
      </c>
      <c r="D119">
        <v>7.4</v>
      </c>
      <c r="E119" s="21" t="s">
        <v>67</v>
      </c>
      <c r="F119" s="32">
        <v>8.1999999999999993</v>
      </c>
      <c r="G119" s="21" t="s">
        <v>56</v>
      </c>
      <c r="H119" s="33">
        <v>8</v>
      </c>
      <c r="I119" s="15" t="s">
        <v>56</v>
      </c>
      <c r="J119" s="52">
        <v>9.9</v>
      </c>
      <c r="K119" s="15" t="s">
        <v>58</v>
      </c>
      <c r="L119" s="35">
        <v>4.5999999999999996</v>
      </c>
      <c r="M119" s="15" t="s">
        <v>56</v>
      </c>
      <c r="N119" s="35">
        <v>5.3</v>
      </c>
      <c r="P119" s="35">
        <v>4.3</v>
      </c>
      <c r="R119" s="35">
        <v>4</v>
      </c>
      <c r="S119" s="15" t="s">
        <v>56</v>
      </c>
      <c r="T119" s="35">
        <v>4.1100000000000003</v>
      </c>
      <c r="U119" s="15" t="s">
        <v>56</v>
      </c>
      <c r="V119" s="34">
        <v>5.84</v>
      </c>
      <c r="W119" s="15" t="s">
        <v>56</v>
      </c>
      <c r="X119" s="49">
        <v>4.01</v>
      </c>
      <c r="Y119" s="15" t="s">
        <v>56</v>
      </c>
      <c r="AC119" s="34">
        <v>5.37</v>
      </c>
      <c r="AD119" s="15" t="s">
        <v>56</v>
      </c>
      <c r="AE119" s="49">
        <v>6.66</v>
      </c>
      <c r="AF119" s="15" t="s">
        <v>56</v>
      </c>
    </row>
    <row r="120" spans="1:32" ht="15.75" customHeight="1">
      <c r="A120" s="21">
        <v>117</v>
      </c>
      <c r="B120" s="21">
        <v>5.9</v>
      </c>
      <c r="C120" s="21">
        <v>5.0999999999999996</v>
      </c>
      <c r="D120">
        <v>6.1</v>
      </c>
      <c r="E120" s="21" t="s">
        <v>67</v>
      </c>
      <c r="F120" s="32">
        <v>7.2</v>
      </c>
      <c r="G120" s="21" t="s">
        <v>56</v>
      </c>
      <c r="H120" s="33">
        <v>7.5</v>
      </c>
      <c r="I120" s="15" t="s">
        <v>56</v>
      </c>
      <c r="J120" s="34">
        <v>8.5</v>
      </c>
      <c r="K120" s="15" t="s">
        <v>56</v>
      </c>
      <c r="L120" s="35">
        <v>4.5</v>
      </c>
      <c r="M120" s="15" t="s">
        <v>56</v>
      </c>
      <c r="N120" s="35">
        <v>6.8</v>
      </c>
      <c r="P120" s="45">
        <v>12.1</v>
      </c>
      <c r="Q120" s="15" t="s">
        <v>60</v>
      </c>
      <c r="R120" s="35">
        <v>4.4000000000000004</v>
      </c>
      <c r="S120" s="15" t="s">
        <v>56</v>
      </c>
      <c r="T120" s="35">
        <v>4.33</v>
      </c>
      <c r="U120" s="15" t="s">
        <v>56</v>
      </c>
      <c r="V120" s="34">
        <v>6.52</v>
      </c>
      <c r="W120" s="15" t="s">
        <v>56</v>
      </c>
      <c r="X120" s="49">
        <v>4.13</v>
      </c>
      <c r="Y120" s="15" t="s">
        <v>56</v>
      </c>
      <c r="AC120" s="34">
        <v>4.9800000000000004</v>
      </c>
      <c r="AD120" s="15" t="s">
        <v>56</v>
      </c>
      <c r="AE120" s="49">
        <v>6.75</v>
      </c>
      <c r="AF120" s="15" t="s">
        <v>56</v>
      </c>
    </row>
    <row r="121" spans="1:32" ht="15.75" customHeight="1">
      <c r="A121" s="21">
        <v>118</v>
      </c>
      <c r="B121" s="21">
        <v>5.6</v>
      </c>
      <c r="C121" s="21">
        <v>5.0999999999999996</v>
      </c>
      <c r="D121">
        <v>5.5</v>
      </c>
      <c r="E121" s="21" t="s">
        <v>67</v>
      </c>
      <c r="F121" s="32">
        <v>6.7</v>
      </c>
      <c r="G121" s="21" t="s">
        <v>56</v>
      </c>
      <c r="H121" s="33">
        <v>7.6</v>
      </c>
      <c r="I121" s="15" t="s">
        <v>56</v>
      </c>
      <c r="J121" s="34">
        <v>8.1</v>
      </c>
      <c r="K121" s="15" t="s">
        <v>56</v>
      </c>
      <c r="L121" s="35">
        <v>4.2</v>
      </c>
      <c r="M121" s="15" t="s">
        <v>56</v>
      </c>
      <c r="N121" s="35">
        <v>5.2</v>
      </c>
      <c r="P121" s="35">
        <v>4.0999999999999996</v>
      </c>
      <c r="R121" s="35">
        <v>3.9</v>
      </c>
      <c r="S121" s="15" t="s">
        <v>56</v>
      </c>
      <c r="T121" s="35">
        <v>3.99</v>
      </c>
      <c r="U121" s="15" t="s">
        <v>56</v>
      </c>
      <c r="V121" s="34">
        <v>5.08</v>
      </c>
      <c r="W121" s="15" t="s">
        <v>56</v>
      </c>
      <c r="X121" s="49">
        <v>4.13</v>
      </c>
      <c r="Y121" s="15" t="s">
        <v>56</v>
      </c>
      <c r="AC121" s="52">
        <v>10.31</v>
      </c>
      <c r="AD121" s="15" t="s">
        <v>58</v>
      </c>
      <c r="AE121" s="49">
        <v>5.44</v>
      </c>
      <c r="AF121" s="15" t="s">
        <v>56</v>
      </c>
    </row>
    <row r="122" spans="1:32" ht="15.75" customHeight="1">
      <c r="A122" s="21">
        <v>119</v>
      </c>
      <c r="B122" s="21">
        <v>5.9</v>
      </c>
      <c r="C122" s="21">
        <v>6.1</v>
      </c>
      <c r="D122">
        <v>5.5</v>
      </c>
      <c r="E122" s="21" t="s">
        <v>67</v>
      </c>
      <c r="F122" s="32">
        <v>7.6</v>
      </c>
      <c r="G122" s="21" t="s">
        <v>56</v>
      </c>
      <c r="H122" s="33">
        <v>8.5</v>
      </c>
      <c r="I122" s="15" t="s">
        <v>56</v>
      </c>
      <c r="J122" s="34">
        <v>8.1999999999999993</v>
      </c>
      <c r="K122" s="15" t="s">
        <v>56</v>
      </c>
      <c r="L122" s="35">
        <v>4.8</v>
      </c>
      <c r="M122" s="15" t="s">
        <v>56</v>
      </c>
      <c r="N122" s="45">
        <v>14.5</v>
      </c>
      <c r="O122" s="15" t="s">
        <v>60</v>
      </c>
      <c r="P122" s="35">
        <v>4.2</v>
      </c>
      <c r="R122" s="35">
        <v>3.9</v>
      </c>
      <c r="S122" s="15" t="s">
        <v>56</v>
      </c>
      <c r="T122" s="35">
        <v>4.0199999999999996</v>
      </c>
      <c r="U122" s="15" t="s">
        <v>56</v>
      </c>
      <c r="V122" s="53">
        <v>9999</v>
      </c>
      <c r="W122" s="15" t="s">
        <v>60</v>
      </c>
      <c r="X122" s="49">
        <v>4.3600000000000003</v>
      </c>
      <c r="Y122" s="15" t="s">
        <v>56</v>
      </c>
      <c r="AC122" s="34">
        <v>4.5599999999999996</v>
      </c>
      <c r="AD122" s="15" t="s">
        <v>56</v>
      </c>
      <c r="AE122" s="58">
        <v>12.32</v>
      </c>
      <c r="AF122" s="15" t="s">
        <v>60</v>
      </c>
    </row>
    <row r="123" spans="1:32" ht="15.75" customHeight="1">
      <c r="A123" s="21">
        <v>120</v>
      </c>
      <c r="B123" s="21">
        <v>5.4</v>
      </c>
      <c r="C123" s="21">
        <v>5</v>
      </c>
      <c r="D123">
        <v>6</v>
      </c>
      <c r="E123" s="21" t="s">
        <v>67</v>
      </c>
      <c r="F123" s="32">
        <v>6.4</v>
      </c>
      <c r="G123" s="21" t="s">
        <v>56</v>
      </c>
      <c r="H123" s="33">
        <v>8.5</v>
      </c>
      <c r="I123" s="15" t="s">
        <v>56</v>
      </c>
      <c r="J123" s="34">
        <v>7.9</v>
      </c>
      <c r="K123" s="15" t="s">
        <v>56</v>
      </c>
      <c r="L123" s="35">
        <v>6.3</v>
      </c>
      <c r="M123" s="15" t="s">
        <v>56</v>
      </c>
      <c r="N123" s="35">
        <v>4.7</v>
      </c>
      <c r="P123" s="35">
        <v>4.0999999999999996</v>
      </c>
      <c r="R123" s="35">
        <v>3.7</v>
      </c>
      <c r="S123" s="15" t="s">
        <v>56</v>
      </c>
      <c r="T123" s="35">
        <v>4.16</v>
      </c>
      <c r="U123" s="15" t="s">
        <v>56</v>
      </c>
      <c r="V123" s="34">
        <v>5.14</v>
      </c>
      <c r="W123" s="15" t="s">
        <v>56</v>
      </c>
      <c r="X123" s="49">
        <v>4.13</v>
      </c>
      <c r="Y123" s="15" t="s">
        <v>56</v>
      </c>
      <c r="AC123" s="34">
        <v>4.1500000000000004</v>
      </c>
      <c r="AD123" s="15" t="s">
        <v>56</v>
      </c>
      <c r="AE123" s="49">
        <v>5.75</v>
      </c>
      <c r="AF123" s="15" t="s">
        <v>56</v>
      </c>
    </row>
    <row r="124" spans="1:32" ht="15.75" customHeight="1">
      <c r="C124" s="21"/>
      <c r="L124" s="35"/>
    </row>
    <row r="125" spans="1:32" ht="15.75" customHeight="1">
      <c r="C125" s="21"/>
      <c r="V125" s="34">
        <v>0.38333299999999998</v>
      </c>
      <c r="W125" s="60" t="s">
        <v>127</v>
      </c>
      <c r="X125">
        <f>COUNTIF(X4:X123,"&lt;=9")</f>
        <v>93</v>
      </c>
      <c r="Y125" s="15" t="s">
        <v>56</v>
      </c>
      <c r="AC125">
        <f>COUNTIF(AC4:AC123,"&lt;=9")</f>
        <v>118</v>
      </c>
      <c r="AD125" s="15" t="s">
        <v>56</v>
      </c>
      <c r="AE125">
        <f>COUNTIF(AE4:AE123,"&lt;=9")</f>
        <v>116</v>
      </c>
      <c r="AF125" s="15" t="s">
        <v>56</v>
      </c>
    </row>
    <row r="126" spans="1:32" ht="15.75" customHeight="1">
      <c r="C126" s="21"/>
      <c r="X126">
        <f>120-(X125+X127)</f>
        <v>3</v>
      </c>
      <c r="Y126" s="46" t="s">
        <v>58</v>
      </c>
      <c r="AC126">
        <f>120-(AC125+AC127)</f>
        <v>1</v>
      </c>
      <c r="AD126" s="46" t="s">
        <v>58</v>
      </c>
      <c r="AE126">
        <f>120-(AE125+AE127)</f>
        <v>0</v>
      </c>
      <c r="AF126" s="46" t="s">
        <v>58</v>
      </c>
    </row>
    <row r="127" spans="1:32" ht="15.75" customHeight="1">
      <c r="C127" s="21"/>
      <c r="X127">
        <f>COUNTIF(X4:X123,"&gt;12")</f>
        <v>24</v>
      </c>
      <c r="Y127" s="47" t="s">
        <v>60</v>
      </c>
      <c r="AC127">
        <f>COUNTIF(AC4:AC123,"&gt;12")</f>
        <v>1</v>
      </c>
      <c r="AD127" s="47" t="s">
        <v>60</v>
      </c>
      <c r="AE127">
        <f>COUNTIF(AE4:AE123,"&gt;12")</f>
        <v>4</v>
      </c>
      <c r="AF127" s="47" t="s">
        <v>60</v>
      </c>
    </row>
    <row r="128" spans="1:32" ht="15.75" customHeight="1">
      <c r="C128" s="21"/>
      <c r="X128">
        <f>X126+X127</f>
        <v>27</v>
      </c>
      <c r="Y128" s="15" t="s">
        <v>113</v>
      </c>
      <c r="AC128">
        <f>AC126+AC127</f>
        <v>2</v>
      </c>
      <c r="AD128" s="15" t="s">
        <v>113</v>
      </c>
      <c r="AE128">
        <f>AE126+AE127</f>
        <v>4</v>
      </c>
      <c r="AF128" s="15" t="s">
        <v>113</v>
      </c>
    </row>
    <row r="129" spans="3:3" ht="15.75" customHeight="1">
      <c r="C129" s="21"/>
    </row>
    <row r="130" spans="3:3" ht="15.75" customHeight="1">
      <c r="C130" s="21"/>
    </row>
    <row r="131" spans="3:3" ht="15.75" customHeight="1">
      <c r="C131" s="21"/>
    </row>
    <row r="132" spans="3:3" ht="15.75" customHeight="1">
      <c r="C132" s="21"/>
    </row>
    <row r="133" spans="3:3" ht="15.75" customHeight="1">
      <c r="C133" s="21"/>
    </row>
    <row r="134" spans="3:3" ht="15.75" customHeight="1">
      <c r="C134" s="21"/>
    </row>
    <row r="135" spans="3:3" ht="15.75" customHeight="1">
      <c r="C135" s="21"/>
    </row>
    <row r="136" spans="3:3" ht="15.75" customHeight="1">
      <c r="C136" s="21"/>
    </row>
    <row r="137" spans="3:3" ht="15.75" customHeight="1">
      <c r="C137" s="21"/>
    </row>
    <row r="138" spans="3:3" ht="15.75" customHeight="1">
      <c r="C138" s="21"/>
    </row>
    <row r="139" spans="3:3" ht="15.75" customHeight="1">
      <c r="C139" s="21"/>
    </row>
    <row r="140" spans="3:3" ht="15.75" customHeight="1">
      <c r="C140" s="21"/>
    </row>
    <row r="141" spans="3:3" ht="15.75" customHeight="1">
      <c r="C141" s="21"/>
    </row>
    <row r="142" spans="3:3" ht="15.75" customHeight="1">
      <c r="C142" s="21"/>
    </row>
    <row r="143" spans="3:3" ht="15.75" customHeight="1">
      <c r="C143" s="21"/>
    </row>
    <row r="144" spans="3:3" ht="15.75" customHeight="1">
      <c r="C144" s="21"/>
    </row>
    <row r="145" spans="3:3" ht="15.75" customHeight="1">
      <c r="C145" s="21"/>
    </row>
    <row r="146" spans="3:3" ht="15.75" customHeight="1">
      <c r="C146" s="21"/>
    </row>
    <row r="147" spans="3:3" ht="15.75" customHeight="1">
      <c r="C147" s="21"/>
    </row>
    <row r="148" spans="3:3" ht="15.75" customHeight="1">
      <c r="C148" s="21"/>
    </row>
    <row r="149" spans="3:3" ht="15.75" customHeight="1">
      <c r="C149" s="21"/>
    </row>
    <row r="150" spans="3:3" ht="15.75" customHeight="1">
      <c r="C150" s="21"/>
    </row>
    <row r="151" spans="3:3" ht="15.75" customHeight="1">
      <c r="C151" s="21"/>
    </row>
    <row r="152" spans="3:3" ht="15.75" customHeight="1">
      <c r="C152" s="21"/>
    </row>
    <row r="153" spans="3:3" ht="15.75" customHeight="1">
      <c r="C153" s="21"/>
    </row>
    <row r="154" spans="3:3" ht="15.75" customHeight="1">
      <c r="C154" s="21"/>
    </row>
    <row r="155" spans="3:3" ht="15.75" customHeight="1">
      <c r="C155" s="21"/>
    </row>
    <row r="156" spans="3:3" ht="15.75" customHeight="1">
      <c r="C156" s="21"/>
    </row>
    <row r="157" spans="3:3" ht="15.75" customHeight="1">
      <c r="C157" s="21"/>
    </row>
    <row r="158" spans="3:3" ht="15.75" customHeight="1">
      <c r="C158" s="21"/>
    </row>
    <row r="159" spans="3:3" ht="15.75" customHeight="1">
      <c r="C159" s="21"/>
    </row>
    <row r="160" spans="3:3" ht="15.75" customHeight="1">
      <c r="C160" s="21"/>
    </row>
    <row r="161" spans="3:3" ht="15.75" customHeight="1">
      <c r="C161" s="21"/>
    </row>
    <row r="162" spans="3:3" ht="15.75" customHeight="1">
      <c r="C162" s="21"/>
    </row>
    <row r="163" spans="3:3" ht="15.75" customHeight="1">
      <c r="C163" s="21"/>
    </row>
    <row r="164" spans="3:3" ht="15.75" customHeight="1">
      <c r="C164" s="21"/>
    </row>
    <row r="165" spans="3:3" ht="15.75" customHeight="1">
      <c r="C165" s="21"/>
    </row>
    <row r="166" spans="3:3" ht="15.75" customHeight="1">
      <c r="C166" s="21"/>
    </row>
    <row r="167" spans="3:3" ht="15.75" customHeight="1">
      <c r="C167" s="21"/>
    </row>
    <row r="168" spans="3:3" ht="15.75" customHeight="1">
      <c r="C168" s="21"/>
    </row>
    <row r="169" spans="3:3" ht="15.75" customHeight="1">
      <c r="C169" s="21"/>
    </row>
    <row r="170" spans="3:3" ht="15.75" customHeight="1">
      <c r="C170" s="21"/>
    </row>
    <row r="171" spans="3:3" ht="15.75" customHeight="1">
      <c r="C171" s="21"/>
    </row>
    <row r="172" spans="3:3" ht="15.75" customHeight="1">
      <c r="C172" s="21"/>
    </row>
    <row r="173" spans="3:3" ht="15.75" customHeight="1">
      <c r="C173" s="21"/>
    </row>
    <row r="174" spans="3:3" ht="15.75" customHeight="1">
      <c r="C174" s="21"/>
    </row>
    <row r="175" spans="3:3" ht="15.75" customHeight="1">
      <c r="C175" s="21"/>
    </row>
    <row r="176" spans="3:3" ht="15.75" customHeight="1">
      <c r="C176" s="21"/>
    </row>
    <row r="177" spans="3:3" ht="15.75" customHeight="1">
      <c r="C177" s="21"/>
    </row>
    <row r="178" spans="3:3" ht="15.75" customHeight="1">
      <c r="C178" s="21"/>
    </row>
    <row r="179" spans="3:3" ht="15.75" customHeight="1">
      <c r="C179" s="21"/>
    </row>
    <row r="180" spans="3:3" ht="15.75" customHeight="1">
      <c r="C180" s="21"/>
    </row>
    <row r="181" spans="3:3" ht="15.75" customHeight="1">
      <c r="C181" s="21"/>
    </row>
    <row r="182" spans="3:3" ht="15.75" customHeight="1">
      <c r="C182" s="21"/>
    </row>
    <row r="183" spans="3:3" ht="15.75" customHeight="1">
      <c r="C183" s="21"/>
    </row>
    <row r="184" spans="3:3" ht="15.75" customHeight="1">
      <c r="C184" s="21"/>
    </row>
    <row r="185" spans="3:3" ht="15.75" customHeight="1">
      <c r="C185" s="21"/>
    </row>
    <row r="186" spans="3:3" ht="15.75" customHeight="1">
      <c r="C186" s="21"/>
    </row>
    <row r="187" spans="3:3" ht="15.75" customHeight="1">
      <c r="C187" s="21"/>
    </row>
    <row r="188" spans="3:3" ht="15.75" customHeight="1">
      <c r="C188" s="21"/>
    </row>
    <row r="189" spans="3:3" ht="15.75" customHeight="1">
      <c r="C189" s="21"/>
    </row>
    <row r="190" spans="3:3" ht="15.75" customHeight="1">
      <c r="C190" s="21"/>
    </row>
    <row r="191" spans="3:3" ht="15.75" customHeight="1">
      <c r="C191" s="21"/>
    </row>
    <row r="192" spans="3:3" ht="15.75" customHeight="1">
      <c r="C192" s="21"/>
    </row>
    <row r="193" spans="3:3" ht="15.75" customHeight="1">
      <c r="C193" s="21"/>
    </row>
    <row r="194" spans="3:3" ht="15.75" customHeight="1">
      <c r="C194" s="21"/>
    </row>
    <row r="195" spans="3:3" ht="15.75" customHeight="1">
      <c r="C195" s="21"/>
    </row>
    <row r="196" spans="3:3" ht="15.75" customHeight="1">
      <c r="C196" s="21"/>
    </row>
    <row r="197" spans="3:3" ht="15.75" customHeight="1">
      <c r="C197" s="21"/>
    </row>
    <row r="198" spans="3:3" ht="15.75" customHeight="1">
      <c r="C198" s="21"/>
    </row>
    <row r="199" spans="3:3" ht="15.75" customHeight="1">
      <c r="C199" s="21"/>
    </row>
    <row r="200" spans="3:3" ht="15.75" customHeight="1">
      <c r="C200" s="21"/>
    </row>
    <row r="201" spans="3:3" ht="15.75" customHeight="1">
      <c r="C201" s="21"/>
    </row>
    <row r="202" spans="3:3" ht="15.75" customHeight="1">
      <c r="C202" s="21"/>
    </row>
    <row r="203" spans="3:3" ht="15.75" customHeight="1">
      <c r="C203" s="21"/>
    </row>
    <row r="204" spans="3:3" ht="15.75" customHeight="1">
      <c r="C204" s="21"/>
    </row>
    <row r="205" spans="3:3" ht="15.75" customHeight="1">
      <c r="C205" s="21"/>
    </row>
    <row r="206" spans="3:3" ht="15.75" customHeight="1">
      <c r="C206" s="21"/>
    </row>
    <row r="207" spans="3:3" ht="15.75" customHeight="1">
      <c r="C207" s="21"/>
    </row>
    <row r="208" spans="3:3" ht="15.75" customHeight="1">
      <c r="C208" s="21"/>
    </row>
    <row r="209" spans="3:3" ht="15.75" customHeight="1">
      <c r="C209" s="21"/>
    </row>
    <row r="210" spans="3:3" ht="15.75" customHeight="1">
      <c r="C210" s="21"/>
    </row>
    <row r="211" spans="3:3" ht="15.75" customHeight="1">
      <c r="C211" s="21"/>
    </row>
    <row r="212" spans="3:3" ht="15.75" customHeight="1">
      <c r="C212" s="21"/>
    </row>
    <row r="213" spans="3:3" ht="15.75" customHeight="1">
      <c r="C213" s="21"/>
    </row>
    <row r="214" spans="3:3" ht="15.75" customHeight="1">
      <c r="C214" s="21"/>
    </row>
    <row r="215" spans="3:3" ht="15.75" customHeight="1">
      <c r="C215" s="21"/>
    </row>
    <row r="216" spans="3:3" ht="15.75" customHeight="1">
      <c r="C216" s="21"/>
    </row>
    <row r="217" spans="3:3" ht="15.75" customHeight="1">
      <c r="C217" s="21"/>
    </row>
    <row r="218" spans="3:3" ht="15.75" customHeight="1">
      <c r="C218" s="21"/>
    </row>
    <row r="219" spans="3:3" ht="15.75" customHeight="1">
      <c r="C219" s="21"/>
    </row>
    <row r="220" spans="3:3" ht="15.75" customHeight="1">
      <c r="C220" s="21"/>
    </row>
    <row r="221" spans="3:3" ht="15.75" customHeight="1">
      <c r="C221" s="21"/>
    </row>
    <row r="222" spans="3:3" ht="15.75" customHeight="1">
      <c r="C222" s="21"/>
    </row>
    <row r="223" spans="3:3" ht="15.75" customHeight="1">
      <c r="C223" s="21"/>
    </row>
    <row r="224" spans="3:3" ht="15.75" customHeight="1">
      <c r="C224" s="21"/>
    </row>
    <row r="225" spans="3:3" ht="15.75" customHeight="1">
      <c r="C225" s="21"/>
    </row>
    <row r="226" spans="3:3" ht="15.75" customHeight="1">
      <c r="C226" s="21"/>
    </row>
    <row r="227" spans="3:3" ht="15.75" customHeight="1">
      <c r="C227" s="21"/>
    </row>
    <row r="228" spans="3:3" ht="15.75" customHeight="1">
      <c r="C228" s="21"/>
    </row>
    <row r="229" spans="3:3" ht="15.75" customHeight="1">
      <c r="C229" s="21"/>
    </row>
    <row r="230" spans="3:3" ht="15.75" customHeight="1">
      <c r="C230" s="21"/>
    </row>
    <row r="231" spans="3:3" ht="15.75" customHeight="1">
      <c r="C231" s="21"/>
    </row>
    <row r="232" spans="3:3" ht="15.75" customHeight="1">
      <c r="C232" s="21"/>
    </row>
    <row r="233" spans="3:3" ht="15.75" customHeight="1">
      <c r="C233" s="21"/>
    </row>
    <row r="234" spans="3:3" ht="15.75" customHeight="1">
      <c r="C234" s="21"/>
    </row>
    <row r="235" spans="3:3" ht="15.75" customHeight="1">
      <c r="C235" s="21"/>
    </row>
    <row r="236" spans="3:3" ht="15.75" customHeight="1">
      <c r="C236" s="21"/>
    </row>
    <row r="237" spans="3:3" ht="15.75" customHeight="1">
      <c r="C237" s="21"/>
    </row>
    <row r="238" spans="3:3" ht="15.75" customHeight="1">
      <c r="C238" s="21"/>
    </row>
    <row r="239" spans="3:3" ht="15.75" customHeight="1">
      <c r="C239" s="21"/>
    </row>
    <row r="240" spans="3:3" ht="15.75" customHeight="1">
      <c r="C240" s="21"/>
    </row>
    <row r="241" spans="3:3" ht="15.75" customHeight="1">
      <c r="C241" s="21"/>
    </row>
    <row r="242" spans="3:3" ht="15.75" customHeight="1">
      <c r="C242" s="21"/>
    </row>
    <row r="243" spans="3:3" ht="15.75" customHeight="1">
      <c r="C243" s="21"/>
    </row>
    <row r="244" spans="3:3" ht="15.75" customHeight="1">
      <c r="C244" s="21"/>
    </row>
    <row r="245" spans="3:3" ht="15.75" customHeight="1">
      <c r="C245" s="21"/>
    </row>
    <row r="246" spans="3:3" ht="15.75" customHeight="1">
      <c r="C246" s="21"/>
    </row>
    <row r="247" spans="3:3" ht="15.75" customHeight="1">
      <c r="C247" s="21"/>
    </row>
    <row r="248" spans="3:3" ht="15.75" customHeight="1">
      <c r="C248" s="21"/>
    </row>
    <row r="249" spans="3:3" ht="15.75" customHeight="1">
      <c r="C249" s="21"/>
    </row>
    <row r="250" spans="3:3" ht="15.75" customHeight="1">
      <c r="C250" s="21"/>
    </row>
    <row r="251" spans="3:3" ht="15.75" customHeight="1">
      <c r="C251" s="21"/>
    </row>
    <row r="252" spans="3:3" ht="15.75" customHeight="1">
      <c r="C252" s="21"/>
    </row>
    <row r="253" spans="3:3" ht="15.75" customHeight="1">
      <c r="C253" s="21"/>
    </row>
    <row r="254" spans="3:3" ht="15.75" customHeight="1">
      <c r="C254" s="21"/>
    </row>
    <row r="255" spans="3:3" ht="15.75" customHeight="1">
      <c r="C255" s="21"/>
    </row>
    <row r="256" spans="3:3" ht="15.75" customHeight="1">
      <c r="C256" s="21"/>
    </row>
    <row r="257" spans="3:3" ht="15.75" customHeight="1">
      <c r="C257" s="21"/>
    </row>
    <row r="258" spans="3:3" ht="15.75" customHeight="1">
      <c r="C258" s="21"/>
    </row>
    <row r="259" spans="3:3" ht="15.75" customHeight="1">
      <c r="C259" s="21"/>
    </row>
    <row r="260" spans="3:3" ht="15.75" customHeight="1">
      <c r="C260" s="21"/>
    </row>
    <row r="261" spans="3:3" ht="15.75" customHeight="1">
      <c r="C261" s="21"/>
    </row>
    <row r="262" spans="3:3" ht="15.75" customHeight="1">
      <c r="C262" s="21"/>
    </row>
    <row r="263" spans="3:3" ht="15.75" customHeight="1">
      <c r="C263" s="21"/>
    </row>
    <row r="264" spans="3:3" ht="15.75" customHeight="1">
      <c r="C264" s="21"/>
    </row>
    <row r="265" spans="3:3" ht="15.75" customHeight="1">
      <c r="C265" s="21"/>
    </row>
    <row r="266" spans="3:3" ht="15.75" customHeight="1">
      <c r="C266" s="21"/>
    </row>
    <row r="267" spans="3:3" ht="15.75" customHeight="1">
      <c r="C267" s="21"/>
    </row>
    <row r="268" spans="3:3" ht="15.75" customHeight="1">
      <c r="C268" s="21"/>
    </row>
    <row r="269" spans="3:3" ht="15.75" customHeight="1">
      <c r="C269" s="21"/>
    </row>
    <row r="270" spans="3:3" ht="15.75" customHeight="1">
      <c r="C270" s="21"/>
    </row>
    <row r="271" spans="3:3" ht="15.75" customHeight="1">
      <c r="C271" s="21"/>
    </row>
    <row r="272" spans="3:3" ht="15.75" customHeight="1">
      <c r="C272" s="21"/>
    </row>
    <row r="273" spans="3:3" ht="15.75" customHeight="1">
      <c r="C273" s="21"/>
    </row>
    <row r="274" spans="3:3" ht="15.75" customHeight="1">
      <c r="C274" s="21"/>
    </row>
    <row r="275" spans="3:3" ht="15.75" customHeight="1">
      <c r="C275" s="21"/>
    </row>
    <row r="276" spans="3:3" ht="15.75" customHeight="1">
      <c r="C276" s="21"/>
    </row>
    <row r="277" spans="3:3" ht="15.75" customHeight="1">
      <c r="C277" s="21"/>
    </row>
    <row r="278" spans="3:3" ht="15.75" customHeight="1">
      <c r="C278" s="21"/>
    </row>
    <row r="279" spans="3:3" ht="15.75" customHeight="1">
      <c r="C279" s="21"/>
    </row>
    <row r="280" spans="3:3" ht="15.75" customHeight="1">
      <c r="C280" s="21"/>
    </row>
    <row r="281" spans="3:3" ht="15.75" customHeight="1">
      <c r="C281" s="21"/>
    </row>
    <row r="282" spans="3:3" ht="15.75" customHeight="1">
      <c r="C282" s="21"/>
    </row>
    <row r="283" spans="3:3" ht="15.75" customHeight="1">
      <c r="C283" s="21"/>
    </row>
    <row r="284" spans="3:3" ht="15.75" customHeight="1">
      <c r="C284" s="21"/>
    </row>
    <row r="285" spans="3:3" ht="15.75" customHeight="1">
      <c r="C285" s="21"/>
    </row>
    <row r="286" spans="3:3" ht="15.75" customHeight="1">
      <c r="C286" s="21"/>
    </row>
    <row r="287" spans="3:3" ht="15.75" customHeight="1">
      <c r="C287" s="21"/>
    </row>
    <row r="288" spans="3:3" ht="15.75" customHeight="1">
      <c r="C288" s="21"/>
    </row>
    <row r="289" spans="3:3" ht="15.75" customHeight="1">
      <c r="C289" s="21"/>
    </row>
    <row r="290" spans="3:3" ht="15.75" customHeight="1">
      <c r="C290" s="21"/>
    </row>
    <row r="291" spans="3:3" ht="15.75" customHeight="1">
      <c r="C291" s="21"/>
    </row>
    <row r="292" spans="3:3" ht="15.75" customHeight="1">
      <c r="C292" s="21"/>
    </row>
    <row r="293" spans="3:3" ht="15.75" customHeight="1">
      <c r="C293" s="21"/>
    </row>
    <row r="294" spans="3:3" ht="15.75" customHeight="1">
      <c r="C294" s="21"/>
    </row>
    <row r="295" spans="3:3" ht="15.75" customHeight="1">
      <c r="C295" s="21"/>
    </row>
    <row r="296" spans="3:3" ht="15.75" customHeight="1">
      <c r="C296" s="21"/>
    </row>
    <row r="297" spans="3:3" ht="15.75" customHeight="1">
      <c r="C297" s="21"/>
    </row>
    <row r="298" spans="3:3" ht="15.75" customHeight="1">
      <c r="C298" s="21"/>
    </row>
    <row r="299" spans="3:3" ht="15.75" customHeight="1">
      <c r="C299" s="21"/>
    </row>
    <row r="300" spans="3:3" ht="15.75" customHeight="1">
      <c r="C300" s="21"/>
    </row>
    <row r="301" spans="3:3" ht="15.75" customHeight="1">
      <c r="C301" s="21"/>
    </row>
    <row r="302" spans="3:3" ht="15.75" customHeight="1">
      <c r="C302" s="21"/>
    </row>
    <row r="303" spans="3:3" ht="15.75" customHeight="1">
      <c r="C303" s="21"/>
    </row>
    <row r="304" spans="3:3" ht="15.75" customHeight="1">
      <c r="C304" s="21"/>
    </row>
    <row r="305" spans="3:3" ht="15.75" customHeight="1">
      <c r="C305" s="21"/>
    </row>
    <row r="306" spans="3:3" ht="15.75" customHeight="1">
      <c r="C306" s="21"/>
    </row>
    <row r="307" spans="3:3" ht="15.75" customHeight="1">
      <c r="C307" s="21"/>
    </row>
    <row r="308" spans="3:3" ht="15.75" customHeight="1">
      <c r="C308" s="21"/>
    </row>
    <row r="309" spans="3:3" ht="15.75" customHeight="1">
      <c r="C309" s="21"/>
    </row>
    <row r="310" spans="3:3" ht="15.75" customHeight="1">
      <c r="C310" s="21"/>
    </row>
    <row r="311" spans="3:3" ht="15.75" customHeight="1">
      <c r="C311" s="21"/>
    </row>
    <row r="312" spans="3:3" ht="15.75" customHeight="1">
      <c r="C312" s="21"/>
    </row>
    <row r="313" spans="3:3" ht="15.75" customHeight="1">
      <c r="C313" s="21"/>
    </row>
    <row r="314" spans="3:3" ht="15.75" customHeight="1">
      <c r="C314" s="21"/>
    </row>
    <row r="315" spans="3:3" ht="15.75" customHeight="1">
      <c r="C315" s="21"/>
    </row>
    <row r="316" spans="3:3" ht="15.75" customHeight="1">
      <c r="C316" s="21"/>
    </row>
    <row r="317" spans="3:3" ht="15.75" customHeight="1">
      <c r="C317" s="21"/>
    </row>
    <row r="318" spans="3:3" ht="15.75" customHeight="1">
      <c r="C318" s="21"/>
    </row>
    <row r="319" spans="3:3" ht="15.75" customHeight="1">
      <c r="C319" s="21"/>
    </row>
    <row r="320" spans="3:3" ht="15.75" customHeight="1">
      <c r="C320" s="21"/>
    </row>
    <row r="321" spans="3:3" ht="15.75" customHeight="1">
      <c r="C321" s="21"/>
    </row>
    <row r="322" spans="3:3" ht="15.75" customHeight="1">
      <c r="C322" s="21"/>
    </row>
    <row r="323" spans="3:3" ht="15.75" customHeight="1">
      <c r="C323" s="21"/>
    </row>
    <row r="324" spans="3:3" ht="15.75" customHeight="1">
      <c r="C324" s="21"/>
    </row>
    <row r="325" spans="3:3" ht="15.75" customHeight="1">
      <c r="C325" s="21"/>
    </row>
    <row r="326" spans="3:3" ht="15.75" customHeight="1">
      <c r="C326" s="21"/>
    </row>
    <row r="327" spans="3:3" ht="15.75" customHeight="1">
      <c r="C327" s="21"/>
    </row>
    <row r="328" spans="3:3" ht="15.75" customHeight="1">
      <c r="C328" s="21"/>
    </row>
    <row r="329" spans="3:3" ht="15.75" customHeight="1">
      <c r="C329" s="21"/>
    </row>
    <row r="330" spans="3:3" ht="15.75" customHeight="1">
      <c r="C330" s="21"/>
    </row>
    <row r="331" spans="3:3" ht="15.75" customHeight="1">
      <c r="C331" s="21"/>
    </row>
    <row r="332" spans="3:3" ht="15.75" customHeight="1">
      <c r="C332" s="21"/>
    </row>
    <row r="333" spans="3:3" ht="15.75" customHeight="1">
      <c r="C333" s="21"/>
    </row>
    <row r="334" spans="3:3" ht="15.75" customHeight="1">
      <c r="C334" s="21"/>
    </row>
    <row r="335" spans="3:3" ht="15.75" customHeight="1">
      <c r="C335" s="21"/>
    </row>
    <row r="336" spans="3:3" ht="15.75" customHeight="1">
      <c r="C336" s="21"/>
    </row>
    <row r="337" spans="3:3" ht="15.75" customHeight="1">
      <c r="C337" s="21"/>
    </row>
    <row r="338" spans="3:3" ht="15.75" customHeight="1">
      <c r="C338" s="21"/>
    </row>
    <row r="339" spans="3:3" ht="15.75" customHeight="1">
      <c r="C339" s="21"/>
    </row>
    <row r="340" spans="3:3" ht="15.75" customHeight="1">
      <c r="C340" s="21"/>
    </row>
    <row r="341" spans="3:3" ht="15.75" customHeight="1">
      <c r="C341" s="21"/>
    </row>
    <row r="342" spans="3:3" ht="15.75" customHeight="1">
      <c r="C342" s="21"/>
    </row>
    <row r="343" spans="3:3" ht="15.75" customHeight="1">
      <c r="C343" s="21"/>
    </row>
    <row r="344" spans="3:3" ht="15.75" customHeight="1">
      <c r="C344" s="21"/>
    </row>
    <row r="345" spans="3:3" ht="15.75" customHeight="1">
      <c r="C345" s="21"/>
    </row>
    <row r="346" spans="3:3" ht="15.75" customHeight="1">
      <c r="C346" s="21"/>
    </row>
    <row r="347" spans="3:3" ht="15.75" customHeight="1">
      <c r="C347" s="21"/>
    </row>
    <row r="348" spans="3:3" ht="15.75" customHeight="1">
      <c r="C348" s="21"/>
    </row>
    <row r="349" spans="3:3" ht="15.75" customHeight="1">
      <c r="C349" s="21"/>
    </row>
    <row r="350" spans="3:3" ht="15.75" customHeight="1">
      <c r="C350" s="21"/>
    </row>
    <row r="351" spans="3:3" ht="15.75" customHeight="1">
      <c r="C351" s="21"/>
    </row>
    <row r="352" spans="3:3" ht="15.75" customHeight="1">
      <c r="C352" s="21"/>
    </row>
    <row r="353" spans="3:3" ht="15.75" customHeight="1">
      <c r="C353" s="21"/>
    </row>
    <row r="354" spans="3:3" ht="15.75" customHeight="1">
      <c r="C354" s="21"/>
    </row>
    <row r="355" spans="3:3" ht="15.75" customHeight="1">
      <c r="C355" s="21"/>
    </row>
    <row r="356" spans="3:3" ht="15.75" customHeight="1">
      <c r="C356" s="21"/>
    </row>
    <row r="357" spans="3:3" ht="15.75" customHeight="1">
      <c r="C357" s="21"/>
    </row>
    <row r="358" spans="3:3" ht="15.75" customHeight="1">
      <c r="C358" s="21"/>
    </row>
    <row r="359" spans="3:3" ht="15.75" customHeight="1">
      <c r="C359" s="21"/>
    </row>
    <row r="360" spans="3:3" ht="15.75" customHeight="1">
      <c r="C360" s="21"/>
    </row>
    <row r="361" spans="3:3" ht="15.75" customHeight="1">
      <c r="C361" s="21"/>
    </row>
    <row r="362" spans="3:3" ht="15.75" customHeight="1">
      <c r="C362" s="21"/>
    </row>
    <row r="363" spans="3:3" ht="15.75" customHeight="1">
      <c r="C363" s="21"/>
    </row>
    <row r="364" spans="3:3" ht="15.75" customHeight="1">
      <c r="C364" s="21"/>
    </row>
    <row r="365" spans="3:3" ht="15.75" customHeight="1">
      <c r="C365" s="21"/>
    </row>
    <row r="366" spans="3:3" ht="15.75" customHeight="1">
      <c r="C366" s="21"/>
    </row>
    <row r="367" spans="3:3" ht="15.75" customHeight="1">
      <c r="C367" s="21"/>
    </row>
    <row r="368" spans="3:3" ht="15.75" customHeight="1">
      <c r="C368" s="21"/>
    </row>
    <row r="369" spans="3:3" ht="15.75" customHeight="1">
      <c r="C369" s="21"/>
    </row>
    <row r="370" spans="3:3" ht="15.75" customHeight="1">
      <c r="C370" s="21"/>
    </row>
    <row r="371" spans="3:3" ht="15.75" customHeight="1">
      <c r="C371" s="21"/>
    </row>
    <row r="372" spans="3:3" ht="15.75" customHeight="1">
      <c r="C372" s="21"/>
    </row>
    <row r="373" spans="3:3" ht="15.75" customHeight="1">
      <c r="C373" s="21"/>
    </row>
    <row r="374" spans="3:3" ht="15.75" customHeight="1">
      <c r="C374" s="21"/>
    </row>
    <row r="375" spans="3:3" ht="15.75" customHeight="1">
      <c r="C375" s="21"/>
    </row>
    <row r="376" spans="3:3" ht="15.75" customHeight="1">
      <c r="C376" s="21"/>
    </row>
    <row r="377" spans="3:3" ht="15.75" customHeight="1">
      <c r="C377" s="21"/>
    </row>
    <row r="378" spans="3:3" ht="15.75" customHeight="1">
      <c r="C378" s="21"/>
    </row>
    <row r="379" spans="3:3" ht="15.75" customHeight="1">
      <c r="C379" s="21"/>
    </row>
    <row r="380" spans="3:3" ht="15.75" customHeight="1">
      <c r="C380" s="21"/>
    </row>
    <row r="381" spans="3:3" ht="15.75" customHeight="1">
      <c r="C381" s="21"/>
    </row>
    <row r="382" spans="3:3" ht="15.75" customHeight="1">
      <c r="C382" s="21"/>
    </row>
    <row r="383" spans="3:3" ht="15.75" customHeight="1">
      <c r="C383" s="21"/>
    </row>
    <row r="384" spans="3:3" ht="15.75" customHeight="1">
      <c r="C384" s="21"/>
    </row>
    <row r="385" spans="3:3" ht="15.75" customHeight="1">
      <c r="C385" s="21"/>
    </row>
    <row r="386" spans="3:3" ht="15.75" customHeight="1">
      <c r="C386" s="21"/>
    </row>
    <row r="387" spans="3:3" ht="15.75" customHeight="1">
      <c r="C387" s="21"/>
    </row>
    <row r="388" spans="3:3" ht="15.75" customHeight="1">
      <c r="C388" s="21"/>
    </row>
    <row r="389" spans="3:3" ht="15.75" customHeight="1">
      <c r="C389" s="21"/>
    </row>
    <row r="390" spans="3:3" ht="15.75" customHeight="1">
      <c r="C390" s="21"/>
    </row>
    <row r="391" spans="3:3" ht="15.75" customHeight="1">
      <c r="C391" s="21"/>
    </row>
    <row r="392" spans="3:3" ht="15.75" customHeight="1">
      <c r="C392" s="21"/>
    </row>
    <row r="393" spans="3:3" ht="15.75" customHeight="1">
      <c r="C393" s="21"/>
    </row>
    <row r="394" spans="3:3" ht="15.75" customHeight="1">
      <c r="C394" s="21"/>
    </row>
    <row r="395" spans="3:3" ht="15.75" customHeight="1">
      <c r="C395" s="21"/>
    </row>
    <row r="396" spans="3:3" ht="15.75" customHeight="1">
      <c r="C396" s="21"/>
    </row>
    <row r="397" spans="3:3" ht="15.75" customHeight="1">
      <c r="C397" s="21"/>
    </row>
    <row r="398" spans="3:3" ht="15.75" customHeight="1">
      <c r="C398" s="21"/>
    </row>
    <row r="399" spans="3:3" ht="15.75" customHeight="1">
      <c r="C399" s="21"/>
    </row>
    <row r="400" spans="3:3" ht="15.75" customHeight="1">
      <c r="C400" s="21"/>
    </row>
    <row r="401" spans="3:3" ht="15.75" customHeight="1">
      <c r="C401" s="21"/>
    </row>
    <row r="402" spans="3:3" ht="15.75" customHeight="1">
      <c r="C402" s="21"/>
    </row>
    <row r="403" spans="3:3" ht="15.75" customHeight="1">
      <c r="C403" s="21"/>
    </row>
    <row r="404" spans="3:3" ht="15.75" customHeight="1">
      <c r="C404" s="21"/>
    </row>
    <row r="405" spans="3:3" ht="15.75" customHeight="1">
      <c r="C405" s="21"/>
    </row>
    <row r="406" spans="3:3" ht="15.75" customHeight="1">
      <c r="C406" s="21"/>
    </row>
    <row r="407" spans="3:3" ht="15.75" customHeight="1">
      <c r="C407" s="21"/>
    </row>
    <row r="408" spans="3:3" ht="15.75" customHeight="1">
      <c r="C408" s="21"/>
    </row>
    <row r="409" spans="3:3" ht="15.75" customHeight="1">
      <c r="C409" s="21"/>
    </row>
    <row r="410" spans="3:3" ht="15.75" customHeight="1">
      <c r="C410" s="21"/>
    </row>
    <row r="411" spans="3:3" ht="15.75" customHeight="1">
      <c r="C411" s="21"/>
    </row>
    <row r="412" spans="3:3" ht="15.75" customHeight="1">
      <c r="C412" s="21"/>
    </row>
    <row r="413" spans="3:3" ht="15.75" customHeight="1">
      <c r="C413" s="21"/>
    </row>
    <row r="414" spans="3:3" ht="15.75" customHeight="1">
      <c r="C414" s="21"/>
    </row>
    <row r="415" spans="3:3" ht="15.75" customHeight="1">
      <c r="C415" s="21"/>
    </row>
    <row r="416" spans="3:3" ht="15.75" customHeight="1">
      <c r="C416" s="21"/>
    </row>
    <row r="417" spans="3:3" ht="15.75" customHeight="1">
      <c r="C417" s="21"/>
    </row>
    <row r="418" spans="3:3" ht="15.75" customHeight="1">
      <c r="C418" s="21"/>
    </row>
    <row r="419" spans="3:3" ht="15.75" customHeight="1">
      <c r="C419" s="21"/>
    </row>
    <row r="420" spans="3:3" ht="15.75" customHeight="1">
      <c r="C420" s="21"/>
    </row>
    <row r="421" spans="3:3" ht="15.75" customHeight="1">
      <c r="C421" s="21"/>
    </row>
    <row r="422" spans="3:3" ht="15.75" customHeight="1">
      <c r="C422" s="21"/>
    </row>
    <row r="423" spans="3:3" ht="15.75" customHeight="1">
      <c r="C423" s="21"/>
    </row>
    <row r="424" spans="3:3" ht="15.75" customHeight="1">
      <c r="C424" s="21"/>
    </row>
    <row r="425" spans="3:3" ht="15.75" customHeight="1">
      <c r="C425" s="21"/>
    </row>
    <row r="426" spans="3:3" ht="15.75" customHeight="1">
      <c r="C426" s="21"/>
    </row>
    <row r="427" spans="3:3" ht="15.75" customHeight="1">
      <c r="C427" s="21"/>
    </row>
    <row r="428" spans="3:3" ht="15.75" customHeight="1">
      <c r="C428" s="21"/>
    </row>
    <row r="429" spans="3:3" ht="15.75" customHeight="1">
      <c r="C429" s="21"/>
    </row>
    <row r="430" spans="3:3" ht="15.75" customHeight="1">
      <c r="C430" s="21"/>
    </row>
    <row r="431" spans="3:3" ht="15.75" customHeight="1">
      <c r="C431" s="21"/>
    </row>
    <row r="432" spans="3:3" ht="15.75" customHeight="1">
      <c r="C432" s="21"/>
    </row>
    <row r="433" spans="3:3" ht="15.75" customHeight="1">
      <c r="C433" s="21"/>
    </row>
    <row r="434" spans="3:3" ht="15.75" customHeight="1">
      <c r="C434" s="21"/>
    </row>
    <row r="435" spans="3:3" ht="15.75" customHeight="1">
      <c r="C435" s="21"/>
    </row>
    <row r="436" spans="3:3" ht="15.75" customHeight="1">
      <c r="C436" s="21"/>
    </row>
    <row r="437" spans="3:3" ht="15.75" customHeight="1">
      <c r="C437" s="21"/>
    </row>
    <row r="438" spans="3:3" ht="15.75" customHeight="1">
      <c r="C438" s="21"/>
    </row>
    <row r="439" spans="3:3" ht="15.75" customHeight="1">
      <c r="C439" s="21"/>
    </row>
    <row r="440" spans="3:3" ht="15.75" customHeight="1">
      <c r="C440" s="21"/>
    </row>
    <row r="441" spans="3:3" ht="15.75" customHeight="1">
      <c r="C441" s="21"/>
    </row>
    <row r="442" spans="3:3" ht="15.75" customHeight="1">
      <c r="C442" s="21"/>
    </row>
    <row r="443" spans="3:3" ht="15.75" customHeight="1">
      <c r="C443" s="21"/>
    </row>
    <row r="444" spans="3:3" ht="15.75" customHeight="1">
      <c r="C444" s="21"/>
    </row>
    <row r="445" spans="3:3" ht="15.75" customHeight="1">
      <c r="C445" s="21"/>
    </row>
    <row r="446" spans="3:3" ht="15.75" customHeight="1">
      <c r="C446" s="21"/>
    </row>
    <row r="447" spans="3:3" ht="15.75" customHeight="1">
      <c r="C447" s="21"/>
    </row>
    <row r="448" spans="3:3" ht="15.75" customHeight="1">
      <c r="C448" s="21"/>
    </row>
    <row r="449" spans="3:3" ht="15.75" customHeight="1">
      <c r="C449" s="21"/>
    </row>
    <row r="450" spans="3:3" ht="15.75" customHeight="1">
      <c r="C450" s="21"/>
    </row>
    <row r="451" spans="3:3" ht="15.75" customHeight="1">
      <c r="C451" s="21"/>
    </row>
    <row r="452" spans="3:3" ht="15.75" customHeight="1">
      <c r="C452" s="21"/>
    </row>
    <row r="453" spans="3:3" ht="15.75" customHeight="1">
      <c r="C453" s="21"/>
    </row>
    <row r="454" spans="3:3" ht="15.75" customHeight="1">
      <c r="C454" s="21"/>
    </row>
    <row r="455" spans="3:3" ht="15.75" customHeight="1">
      <c r="C455" s="21"/>
    </row>
    <row r="456" spans="3:3" ht="15.75" customHeight="1">
      <c r="C456" s="21"/>
    </row>
    <row r="457" spans="3:3" ht="15.75" customHeight="1">
      <c r="C457" s="21"/>
    </row>
    <row r="458" spans="3:3" ht="15.75" customHeight="1">
      <c r="C458" s="21"/>
    </row>
    <row r="459" spans="3:3" ht="15.75" customHeight="1">
      <c r="C459" s="21"/>
    </row>
    <row r="460" spans="3:3" ht="15.75" customHeight="1">
      <c r="C460" s="21"/>
    </row>
    <row r="461" spans="3:3" ht="15.75" customHeight="1">
      <c r="C461" s="21"/>
    </row>
    <row r="462" spans="3:3" ht="15.75" customHeight="1">
      <c r="C462" s="21"/>
    </row>
    <row r="463" spans="3:3" ht="15.75" customHeight="1">
      <c r="C463" s="21"/>
    </row>
    <row r="464" spans="3:3" ht="15.75" customHeight="1">
      <c r="C464" s="21"/>
    </row>
    <row r="465" spans="3:3" ht="15.75" customHeight="1">
      <c r="C465" s="21"/>
    </row>
    <row r="466" spans="3:3" ht="15.75" customHeight="1">
      <c r="C466" s="21"/>
    </row>
    <row r="467" spans="3:3" ht="15.75" customHeight="1">
      <c r="C467" s="21"/>
    </row>
    <row r="468" spans="3:3" ht="15.75" customHeight="1">
      <c r="C468" s="21"/>
    </row>
    <row r="469" spans="3:3" ht="15.75" customHeight="1">
      <c r="C469" s="21"/>
    </row>
    <row r="470" spans="3:3" ht="15.75" customHeight="1">
      <c r="C470" s="21"/>
    </row>
    <row r="471" spans="3:3" ht="15.75" customHeight="1">
      <c r="C471" s="21"/>
    </row>
    <row r="472" spans="3:3" ht="15.75" customHeight="1">
      <c r="C472" s="21"/>
    </row>
    <row r="473" spans="3:3" ht="15.75" customHeight="1">
      <c r="C473" s="21"/>
    </row>
    <row r="474" spans="3:3" ht="15.75" customHeight="1">
      <c r="C474" s="21"/>
    </row>
    <row r="475" spans="3:3" ht="15.75" customHeight="1">
      <c r="C475" s="21"/>
    </row>
    <row r="476" spans="3:3" ht="15.75" customHeight="1">
      <c r="C476" s="21"/>
    </row>
    <row r="477" spans="3:3" ht="15.75" customHeight="1">
      <c r="C477" s="21"/>
    </row>
    <row r="478" spans="3:3" ht="15.75" customHeight="1">
      <c r="C478" s="21"/>
    </row>
    <row r="479" spans="3:3" ht="15.75" customHeight="1">
      <c r="C479" s="21"/>
    </row>
    <row r="480" spans="3:3" ht="15.75" customHeight="1">
      <c r="C480" s="21"/>
    </row>
    <row r="481" spans="3:3" ht="15.75" customHeight="1">
      <c r="C481" s="21"/>
    </row>
    <row r="482" spans="3:3" ht="15.75" customHeight="1">
      <c r="C482" s="21"/>
    </row>
    <row r="483" spans="3:3" ht="15.75" customHeight="1">
      <c r="C483" s="21"/>
    </row>
    <row r="484" spans="3:3" ht="15.75" customHeight="1">
      <c r="C484" s="21"/>
    </row>
    <row r="485" spans="3:3" ht="15.75" customHeight="1">
      <c r="C485" s="21"/>
    </row>
    <row r="486" spans="3:3" ht="15.75" customHeight="1">
      <c r="C486" s="21"/>
    </row>
    <row r="487" spans="3:3" ht="15.75" customHeight="1">
      <c r="C487" s="21"/>
    </row>
    <row r="488" spans="3:3" ht="15.75" customHeight="1">
      <c r="C488" s="21"/>
    </row>
    <row r="489" spans="3:3" ht="15.75" customHeight="1">
      <c r="C489" s="21"/>
    </row>
    <row r="490" spans="3:3" ht="15.75" customHeight="1">
      <c r="C490" s="21"/>
    </row>
    <row r="491" spans="3:3" ht="15.75" customHeight="1">
      <c r="C491" s="21"/>
    </row>
    <row r="492" spans="3:3" ht="15.75" customHeight="1">
      <c r="C492" s="21"/>
    </row>
    <row r="493" spans="3:3" ht="15.75" customHeight="1">
      <c r="C493" s="21"/>
    </row>
    <row r="494" spans="3:3" ht="15.75" customHeight="1">
      <c r="C494" s="21"/>
    </row>
    <row r="495" spans="3:3" ht="15.75" customHeight="1">
      <c r="C495" s="21"/>
    </row>
    <row r="496" spans="3:3" ht="15.75" customHeight="1">
      <c r="C496" s="21"/>
    </row>
    <row r="497" spans="3:3" ht="15.75" customHeight="1">
      <c r="C497" s="21"/>
    </row>
    <row r="498" spans="3:3" ht="15.75" customHeight="1">
      <c r="C498" s="21"/>
    </row>
    <row r="499" spans="3:3" ht="15.75" customHeight="1">
      <c r="C499" s="21"/>
    </row>
    <row r="500" spans="3:3" ht="15.75" customHeight="1">
      <c r="C500" s="21"/>
    </row>
    <row r="501" spans="3:3" ht="15.75" customHeight="1">
      <c r="C501" s="21"/>
    </row>
    <row r="502" spans="3:3" ht="15.75" customHeight="1">
      <c r="C502" s="21"/>
    </row>
    <row r="503" spans="3:3" ht="15.75" customHeight="1">
      <c r="C503" s="21"/>
    </row>
    <row r="504" spans="3:3" ht="15.75" customHeight="1">
      <c r="C504" s="21"/>
    </row>
    <row r="505" spans="3:3" ht="15.75" customHeight="1">
      <c r="C505" s="21"/>
    </row>
    <row r="506" spans="3:3" ht="15.75" customHeight="1">
      <c r="C506" s="21"/>
    </row>
    <row r="507" spans="3:3" ht="15.75" customHeight="1">
      <c r="C507" s="21"/>
    </row>
    <row r="508" spans="3:3" ht="15.75" customHeight="1">
      <c r="C508" s="21"/>
    </row>
    <row r="509" spans="3:3" ht="15.75" customHeight="1">
      <c r="C509" s="21"/>
    </row>
    <row r="510" spans="3:3" ht="15.75" customHeight="1">
      <c r="C510" s="21"/>
    </row>
    <row r="511" spans="3:3" ht="15.75" customHeight="1">
      <c r="C511" s="21"/>
    </row>
    <row r="512" spans="3:3" ht="15.75" customHeight="1">
      <c r="C512" s="21"/>
    </row>
    <row r="513" spans="3:3" ht="15.75" customHeight="1">
      <c r="C513" s="21"/>
    </row>
    <row r="514" spans="3:3" ht="15.75" customHeight="1">
      <c r="C514" s="21"/>
    </row>
    <row r="515" spans="3:3" ht="15.75" customHeight="1">
      <c r="C515" s="21"/>
    </row>
    <row r="516" spans="3:3" ht="15.75" customHeight="1">
      <c r="C516" s="21"/>
    </row>
    <row r="517" spans="3:3" ht="15.75" customHeight="1">
      <c r="C517" s="21"/>
    </row>
    <row r="518" spans="3:3" ht="15.75" customHeight="1">
      <c r="C518" s="21"/>
    </row>
    <row r="519" spans="3:3" ht="15.75" customHeight="1">
      <c r="C519" s="21"/>
    </row>
    <row r="520" spans="3:3" ht="15.75" customHeight="1">
      <c r="C520" s="21"/>
    </row>
    <row r="521" spans="3:3" ht="15.75" customHeight="1">
      <c r="C521" s="21"/>
    </row>
    <row r="522" spans="3:3" ht="15.75" customHeight="1">
      <c r="C522" s="21"/>
    </row>
    <row r="523" spans="3:3" ht="15.75" customHeight="1">
      <c r="C523" s="21"/>
    </row>
    <row r="524" spans="3:3" ht="15.75" customHeight="1">
      <c r="C524" s="21"/>
    </row>
    <row r="525" spans="3:3" ht="15.75" customHeight="1">
      <c r="C525" s="21"/>
    </row>
    <row r="526" spans="3:3" ht="15.75" customHeight="1">
      <c r="C526" s="21"/>
    </row>
    <row r="527" spans="3:3" ht="15.75" customHeight="1">
      <c r="C527" s="21"/>
    </row>
    <row r="528" spans="3:3" ht="15.75" customHeight="1">
      <c r="C528" s="21"/>
    </row>
    <row r="529" spans="3:3" ht="15.75" customHeight="1">
      <c r="C529" s="21"/>
    </row>
    <row r="530" spans="3:3" ht="15.75" customHeight="1">
      <c r="C530" s="21"/>
    </row>
    <row r="531" spans="3:3" ht="15.75" customHeight="1">
      <c r="C531" s="21"/>
    </row>
    <row r="532" spans="3:3" ht="15.75" customHeight="1">
      <c r="C532" s="21"/>
    </row>
    <row r="533" spans="3:3" ht="15.75" customHeight="1">
      <c r="C533" s="21"/>
    </row>
    <row r="534" spans="3:3" ht="15.75" customHeight="1">
      <c r="C534" s="21"/>
    </row>
    <row r="535" spans="3:3" ht="15.75" customHeight="1">
      <c r="C535" s="21"/>
    </row>
    <row r="536" spans="3:3" ht="15.75" customHeight="1">
      <c r="C536" s="21"/>
    </row>
    <row r="537" spans="3:3" ht="15.75" customHeight="1">
      <c r="C537" s="21"/>
    </row>
    <row r="538" spans="3:3" ht="15.75" customHeight="1">
      <c r="C538" s="21"/>
    </row>
    <row r="539" spans="3:3" ht="15.75" customHeight="1">
      <c r="C539" s="21"/>
    </row>
    <row r="540" spans="3:3" ht="15.75" customHeight="1">
      <c r="C540" s="21"/>
    </row>
    <row r="541" spans="3:3" ht="15.75" customHeight="1">
      <c r="C541" s="21"/>
    </row>
    <row r="542" spans="3:3" ht="15.75" customHeight="1">
      <c r="C542" s="21"/>
    </row>
    <row r="543" spans="3:3" ht="15.75" customHeight="1">
      <c r="C543" s="21"/>
    </row>
    <row r="544" spans="3:3" ht="15.75" customHeight="1">
      <c r="C544" s="21"/>
    </row>
    <row r="545" spans="3:3" ht="15.75" customHeight="1">
      <c r="C545" s="21"/>
    </row>
    <row r="546" spans="3:3" ht="15.75" customHeight="1">
      <c r="C546" s="21"/>
    </row>
    <row r="547" spans="3:3" ht="15.75" customHeight="1">
      <c r="C547" s="21"/>
    </row>
    <row r="548" spans="3:3" ht="15.75" customHeight="1">
      <c r="C548" s="21"/>
    </row>
    <row r="549" spans="3:3" ht="15.75" customHeight="1">
      <c r="C549" s="21"/>
    </row>
    <row r="550" spans="3:3" ht="15.75" customHeight="1">
      <c r="C550" s="21"/>
    </row>
    <row r="551" spans="3:3" ht="15.75" customHeight="1">
      <c r="C551" s="21"/>
    </row>
    <row r="552" spans="3:3" ht="15.75" customHeight="1">
      <c r="C552" s="21"/>
    </row>
    <row r="553" spans="3:3" ht="15.75" customHeight="1">
      <c r="C553" s="21"/>
    </row>
    <row r="554" spans="3:3" ht="15.75" customHeight="1">
      <c r="C554" s="21"/>
    </row>
    <row r="555" spans="3:3" ht="15.75" customHeight="1">
      <c r="C555" s="21"/>
    </row>
    <row r="556" spans="3:3" ht="15.75" customHeight="1">
      <c r="C556" s="21"/>
    </row>
    <row r="557" spans="3:3" ht="15.75" customHeight="1">
      <c r="C557" s="21"/>
    </row>
    <row r="558" spans="3:3" ht="15.75" customHeight="1">
      <c r="C558" s="21"/>
    </row>
    <row r="559" spans="3:3" ht="15.75" customHeight="1">
      <c r="C559" s="21"/>
    </row>
    <row r="560" spans="3:3" ht="15.75" customHeight="1">
      <c r="C560" s="21"/>
    </row>
    <row r="561" spans="3:3" ht="15.75" customHeight="1">
      <c r="C561" s="21"/>
    </row>
    <row r="562" spans="3:3" ht="15.75" customHeight="1">
      <c r="C562" s="21"/>
    </row>
    <row r="563" spans="3:3" ht="15.75" customHeight="1">
      <c r="C563" s="21"/>
    </row>
    <row r="564" spans="3:3" ht="15.75" customHeight="1">
      <c r="C564" s="21"/>
    </row>
    <row r="565" spans="3:3" ht="15.75" customHeight="1">
      <c r="C565" s="21"/>
    </row>
    <row r="566" spans="3:3" ht="15.75" customHeight="1">
      <c r="C566" s="21"/>
    </row>
    <row r="567" spans="3:3" ht="15.75" customHeight="1">
      <c r="C567" s="21"/>
    </row>
    <row r="568" spans="3:3" ht="15.75" customHeight="1">
      <c r="C568" s="21"/>
    </row>
    <row r="569" spans="3:3" ht="15.75" customHeight="1">
      <c r="C569" s="21"/>
    </row>
    <row r="570" spans="3:3" ht="15.75" customHeight="1">
      <c r="C570" s="21"/>
    </row>
    <row r="571" spans="3:3" ht="15.75" customHeight="1">
      <c r="C571" s="21"/>
    </row>
    <row r="572" spans="3:3" ht="15.75" customHeight="1">
      <c r="C572" s="21"/>
    </row>
    <row r="573" spans="3:3" ht="15.75" customHeight="1">
      <c r="C573" s="21"/>
    </row>
    <row r="574" spans="3:3" ht="15.75" customHeight="1">
      <c r="C574" s="21"/>
    </row>
    <row r="575" spans="3:3" ht="15.75" customHeight="1">
      <c r="C575" s="21"/>
    </row>
    <row r="576" spans="3:3" ht="15.75" customHeight="1">
      <c r="C576" s="21"/>
    </row>
    <row r="577" spans="3:3" ht="15.75" customHeight="1">
      <c r="C577" s="21"/>
    </row>
    <row r="578" spans="3:3" ht="15.75" customHeight="1">
      <c r="C578" s="21"/>
    </row>
    <row r="579" spans="3:3" ht="15.75" customHeight="1">
      <c r="C579" s="21"/>
    </row>
    <row r="580" spans="3:3" ht="15.75" customHeight="1">
      <c r="C580" s="21"/>
    </row>
    <row r="581" spans="3:3" ht="15.75" customHeight="1">
      <c r="C581" s="21"/>
    </row>
    <row r="582" spans="3:3" ht="15.75" customHeight="1">
      <c r="C582" s="21"/>
    </row>
    <row r="583" spans="3:3" ht="15.75" customHeight="1">
      <c r="C583" s="21"/>
    </row>
    <row r="584" spans="3:3" ht="15.75" customHeight="1">
      <c r="C584" s="21"/>
    </row>
    <row r="585" spans="3:3" ht="15.75" customHeight="1">
      <c r="C585" s="21"/>
    </row>
    <row r="586" spans="3:3" ht="15.75" customHeight="1">
      <c r="C586" s="21"/>
    </row>
    <row r="587" spans="3:3" ht="15.75" customHeight="1">
      <c r="C587" s="21"/>
    </row>
    <row r="588" spans="3:3" ht="15.75" customHeight="1">
      <c r="C588" s="21"/>
    </row>
    <row r="589" spans="3:3" ht="15.75" customHeight="1">
      <c r="C589" s="21"/>
    </row>
    <row r="590" spans="3:3" ht="15.75" customHeight="1">
      <c r="C590" s="21"/>
    </row>
    <row r="591" spans="3:3" ht="15.75" customHeight="1">
      <c r="C591" s="21"/>
    </row>
    <row r="592" spans="3:3" ht="15.75" customHeight="1">
      <c r="C592" s="21"/>
    </row>
    <row r="593" spans="3:3" ht="15.75" customHeight="1">
      <c r="C593" s="21"/>
    </row>
    <row r="594" spans="3:3" ht="15.75" customHeight="1">
      <c r="C594" s="21"/>
    </row>
    <row r="595" spans="3:3" ht="15.75" customHeight="1">
      <c r="C595" s="21"/>
    </row>
    <row r="596" spans="3:3" ht="15.75" customHeight="1">
      <c r="C596" s="21"/>
    </row>
    <row r="597" spans="3:3" ht="15.75" customHeight="1">
      <c r="C597" s="21"/>
    </row>
    <row r="598" spans="3:3" ht="15.75" customHeight="1">
      <c r="C598" s="21"/>
    </row>
    <row r="599" spans="3:3" ht="15.75" customHeight="1">
      <c r="C599" s="21"/>
    </row>
    <row r="600" spans="3:3" ht="15.75" customHeight="1">
      <c r="C600" s="21"/>
    </row>
    <row r="601" spans="3:3" ht="15.75" customHeight="1">
      <c r="C601" s="21"/>
    </row>
    <row r="602" spans="3:3" ht="15.75" customHeight="1">
      <c r="C602" s="21"/>
    </row>
    <row r="603" spans="3:3" ht="15.75" customHeight="1">
      <c r="C603" s="21"/>
    </row>
    <row r="604" spans="3:3" ht="15.75" customHeight="1">
      <c r="C604" s="21"/>
    </row>
    <row r="605" spans="3:3" ht="15.75" customHeight="1">
      <c r="C605" s="21"/>
    </row>
    <row r="606" spans="3:3" ht="15.75" customHeight="1">
      <c r="C606" s="21"/>
    </row>
    <row r="607" spans="3:3" ht="15.75" customHeight="1">
      <c r="C607" s="21"/>
    </row>
    <row r="608" spans="3:3" ht="15.75" customHeight="1">
      <c r="C608" s="21"/>
    </row>
    <row r="609" spans="3:3" ht="15.75" customHeight="1">
      <c r="C609" s="21"/>
    </row>
    <row r="610" spans="3:3" ht="15.75" customHeight="1">
      <c r="C610" s="21"/>
    </row>
    <row r="611" spans="3:3" ht="15.75" customHeight="1">
      <c r="C611" s="21"/>
    </row>
    <row r="612" spans="3:3" ht="15.75" customHeight="1">
      <c r="C612" s="21"/>
    </row>
    <row r="613" spans="3:3" ht="15.75" customHeight="1">
      <c r="C613" s="21"/>
    </row>
    <row r="614" spans="3:3" ht="15.75" customHeight="1">
      <c r="C614" s="21"/>
    </row>
    <row r="615" spans="3:3" ht="15.75" customHeight="1">
      <c r="C615" s="21"/>
    </row>
    <row r="616" spans="3:3" ht="15.75" customHeight="1">
      <c r="C616" s="21"/>
    </row>
    <row r="617" spans="3:3" ht="15.75" customHeight="1">
      <c r="C617" s="21"/>
    </row>
    <row r="618" spans="3:3" ht="15.75" customHeight="1">
      <c r="C618" s="21"/>
    </row>
    <row r="619" spans="3:3" ht="15.75" customHeight="1">
      <c r="C619" s="21"/>
    </row>
    <row r="620" spans="3:3" ht="15.75" customHeight="1">
      <c r="C620" s="21"/>
    </row>
    <row r="621" spans="3:3" ht="15.75" customHeight="1">
      <c r="C621" s="21"/>
    </row>
    <row r="622" spans="3:3" ht="15.75" customHeight="1">
      <c r="C622" s="21"/>
    </row>
    <row r="623" spans="3:3" ht="15.75" customHeight="1">
      <c r="C623" s="21"/>
    </row>
    <row r="624" spans="3:3" ht="15.75" customHeight="1">
      <c r="C624" s="21"/>
    </row>
    <row r="625" spans="3:3" ht="15.75" customHeight="1">
      <c r="C625" s="21"/>
    </row>
    <row r="626" spans="3:3" ht="15.75" customHeight="1">
      <c r="C626" s="21"/>
    </row>
    <row r="627" spans="3:3" ht="15.75" customHeight="1">
      <c r="C627" s="21"/>
    </row>
    <row r="628" spans="3:3" ht="15.75" customHeight="1">
      <c r="C628" s="21"/>
    </row>
    <row r="629" spans="3:3" ht="15.75" customHeight="1">
      <c r="C629" s="21"/>
    </row>
    <row r="630" spans="3:3" ht="15.75" customHeight="1">
      <c r="C630" s="21"/>
    </row>
    <row r="631" spans="3:3" ht="15.75" customHeight="1">
      <c r="C631" s="21"/>
    </row>
    <row r="632" spans="3:3" ht="15.75" customHeight="1">
      <c r="C632" s="21"/>
    </row>
    <row r="633" spans="3:3" ht="15.75" customHeight="1">
      <c r="C633" s="21"/>
    </row>
    <row r="634" spans="3:3" ht="15.75" customHeight="1">
      <c r="C634" s="21"/>
    </row>
    <row r="635" spans="3:3" ht="15.75" customHeight="1">
      <c r="C635" s="21"/>
    </row>
    <row r="636" spans="3:3" ht="15.75" customHeight="1">
      <c r="C636" s="21"/>
    </row>
    <row r="637" spans="3:3" ht="15.75" customHeight="1">
      <c r="C637" s="21"/>
    </row>
    <row r="638" spans="3:3" ht="15.75" customHeight="1">
      <c r="C638" s="21"/>
    </row>
    <row r="639" spans="3:3" ht="15.75" customHeight="1">
      <c r="C639" s="21"/>
    </row>
    <row r="640" spans="3:3" ht="15.75" customHeight="1">
      <c r="C640" s="21"/>
    </row>
    <row r="641" spans="3:3" ht="15.75" customHeight="1">
      <c r="C641" s="21"/>
    </row>
    <row r="642" spans="3:3" ht="15.75" customHeight="1">
      <c r="C642" s="21"/>
    </row>
    <row r="643" spans="3:3" ht="15.75" customHeight="1">
      <c r="C643" s="21"/>
    </row>
    <row r="644" spans="3:3" ht="15.75" customHeight="1">
      <c r="C644" s="21"/>
    </row>
    <row r="645" spans="3:3" ht="15.75" customHeight="1">
      <c r="C645" s="21"/>
    </row>
    <row r="646" spans="3:3" ht="15.75" customHeight="1">
      <c r="C646" s="21"/>
    </row>
    <row r="647" spans="3:3" ht="15.75" customHeight="1">
      <c r="C647" s="21"/>
    </row>
    <row r="648" spans="3:3" ht="15.75" customHeight="1">
      <c r="C648" s="21"/>
    </row>
    <row r="649" spans="3:3" ht="15.75" customHeight="1">
      <c r="C649" s="21"/>
    </row>
    <row r="650" spans="3:3" ht="15.75" customHeight="1">
      <c r="C650" s="21"/>
    </row>
    <row r="651" spans="3:3" ht="15.75" customHeight="1">
      <c r="C651" s="21"/>
    </row>
    <row r="652" spans="3:3" ht="15.75" customHeight="1">
      <c r="C652" s="21"/>
    </row>
    <row r="653" spans="3:3" ht="15.75" customHeight="1">
      <c r="C653" s="21"/>
    </row>
    <row r="654" spans="3:3" ht="15.75" customHeight="1">
      <c r="C654" s="21"/>
    </row>
    <row r="655" spans="3:3" ht="15.75" customHeight="1">
      <c r="C655" s="21"/>
    </row>
    <row r="656" spans="3:3" ht="15.75" customHeight="1">
      <c r="C656" s="21"/>
    </row>
    <row r="657" spans="3:3" ht="15.75" customHeight="1">
      <c r="C657" s="21"/>
    </row>
    <row r="658" spans="3:3" ht="15.75" customHeight="1">
      <c r="C658" s="21"/>
    </row>
    <row r="659" spans="3:3" ht="15.75" customHeight="1">
      <c r="C659" s="21"/>
    </row>
    <row r="660" spans="3:3" ht="15.75" customHeight="1">
      <c r="C660" s="21"/>
    </row>
    <row r="661" spans="3:3" ht="15.75" customHeight="1">
      <c r="C661" s="21"/>
    </row>
    <row r="662" spans="3:3" ht="15.75" customHeight="1">
      <c r="C662" s="21"/>
    </row>
    <row r="663" spans="3:3" ht="15.75" customHeight="1">
      <c r="C663" s="21"/>
    </row>
    <row r="664" spans="3:3" ht="15.75" customHeight="1">
      <c r="C664" s="21"/>
    </row>
    <row r="665" spans="3:3" ht="15.75" customHeight="1">
      <c r="C665" s="21"/>
    </row>
    <row r="666" spans="3:3" ht="15.75" customHeight="1">
      <c r="C666" s="21"/>
    </row>
    <row r="667" spans="3:3" ht="15.75" customHeight="1">
      <c r="C667" s="21"/>
    </row>
    <row r="668" spans="3:3" ht="15.75" customHeight="1">
      <c r="C668" s="21"/>
    </row>
    <row r="669" spans="3:3" ht="15.75" customHeight="1">
      <c r="C669" s="21"/>
    </row>
    <row r="670" spans="3:3" ht="15.75" customHeight="1">
      <c r="C670" s="21"/>
    </row>
    <row r="671" spans="3:3" ht="15.75" customHeight="1">
      <c r="C671" s="21"/>
    </row>
    <row r="672" spans="3:3" ht="15.75" customHeight="1">
      <c r="C672" s="21"/>
    </row>
    <row r="673" spans="3:3" ht="15.75" customHeight="1">
      <c r="C673" s="21"/>
    </row>
    <row r="674" spans="3:3" ht="15.75" customHeight="1">
      <c r="C674" s="21"/>
    </row>
    <row r="675" spans="3:3" ht="15.75" customHeight="1">
      <c r="C675" s="21"/>
    </row>
    <row r="676" spans="3:3" ht="15.75" customHeight="1">
      <c r="C676" s="21"/>
    </row>
    <row r="677" spans="3:3" ht="15.75" customHeight="1">
      <c r="C677" s="21"/>
    </row>
    <row r="678" spans="3:3" ht="15.75" customHeight="1">
      <c r="C678" s="21"/>
    </row>
    <row r="679" spans="3:3" ht="15.75" customHeight="1">
      <c r="C679" s="21"/>
    </row>
    <row r="680" spans="3:3" ht="15.75" customHeight="1">
      <c r="C680" s="21"/>
    </row>
    <row r="681" spans="3:3" ht="15.75" customHeight="1">
      <c r="C681" s="21"/>
    </row>
    <row r="682" spans="3:3" ht="15.75" customHeight="1">
      <c r="C682" s="21"/>
    </row>
    <row r="683" spans="3:3" ht="15.75" customHeight="1">
      <c r="C683" s="21"/>
    </row>
    <row r="684" spans="3:3" ht="15.75" customHeight="1">
      <c r="C684" s="21"/>
    </row>
    <row r="685" spans="3:3" ht="15.75" customHeight="1">
      <c r="C685" s="21"/>
    </row>
    <row r="686" spans="3:3" ht="15.75" customHeight="1">
      <c r="C686" s="21"/>
    </row>
    <row r="687" spans="3:3" ht="15.75" customHeight="1">
      <c r="C687" s="21"/>
    </row>
    <row r="688" spans="3:3" ht="15.75" customHeight="1">
      <c r="C688" s="21"/>
    </row>
    <row r="689" spans="3:3" ht="15.75" customHeight="1">
      <c r="C689" s="21"/>
    </row>
    <row r="690" spans="3:3" ht="15.75" customHeight="1">
      <c r="C690" s="21"/>
    </row>
    <row r="691" spans="3:3" ht="15.75" customHeight="1">
      <c r="C691" s="21"/>
    </row>
    <row r="692" spans="3:3" ht="15.75" customHeight="1">
      <c r="C692" s="21"/>
    </row>
    <row r="693" spans="3:3" ht="15.75" customHeight="1">
      <c r="C693" s="21"/>
    </row>
    <row r="694" spans="3:3" ht="15.75" customHeight="1">
      <c r="C694" s="21"/>
    </row>
    <row r="695" spans="3:3" ht="15.75" customHeight="1">
      <c r="C695" s="21"/>
    </row>
    <row r="696" spans="3:3" ht="15.75" customHeight="1">
      <c r="C696" s="21"/>
    </row>
    <row r="697" spans="3:3" ht="15.75" customHeight="1">
      <c r="C697" s="21"/>
    </row>
    <row r="698" spans="3:3" ht="15.75" customHeight="1">
      <c r="C698" s="21"/>
    </row>
    <row r="699" spans="3:3" ht="15.75" customHeight="1">
      <c r="C699" s="21"/>
    </row>
    <row r="700" spans="3:3" ht="15.75" customHeight="1">
      <c r="C700" s="21"/>
    </row>
    <row r="701" spans="3:3" ht="15.75" customHeight="1">
      <c r="C701" s="21"/>
    </row>
    <row r="702" spans="3:3" ht="15.75" customHeight="1">
      <c r="C702" s="21"/>
    </row>
    <row r="703" spans="3:3" ht="15.75" customHeight="1">
      <c r="C703" s="21"/>
    </row>
    <row r="704" spans="3:3" ht="15.75" customHeight="1">
      <c r="C704" s="21"/>
    </row>
    <row r="705" spans="3:3" ht="15.75" customHeight="1">
      <c r="C705" s="21"/>
    </row>
    <row r="706" spans="3:3" ht="15.75" customHeight="1">
      <c r="C706" s="21"/>
    </row>
    <row r="707" spans="3:3" ht="15.75" customHeight="1">
      <c r="C707" s="21"/>
    </row>
    <row r="708" spans="3:3" ht="15.75" customHeight="1">
      <c r="C708" s="21"/>
    </row>
    <row r="709" spans="3:3" ht="15.75" customHeight="1">
      <c r="C709" s="21"/>
    </row>
    <row r="710" spans="3:3" ht="15.75" customHeight="1">
      <c r="C710" s="21"/>
    </row>
    <row r="711" spans="3:3" ht="15.75" customHeight="1">
      <c r="C711" s="21"/>
    </row>
    <row r="712" spans="3:3" ht="15.75" customHeight="1">
      <c r="C712" s="21"/>
    </row>
    <row r="713" spans="3:3" ht="15.75" customHeight="1">
      <c r="C713" s="21"/>
    </row>
    <row r="714" spans="3:3" ht="15.75" customHeight="1">
      <c r="C714" s="21"/>
    </row>
    <row r="715" spans="3:3" ht="15.75" customHeight="1">
      <c r="C715" s="21"/>
    </row>
    <row r="716" spans="3:3" ht="15.75" customHeight="1">
      <c r="C716" s="21"/>
    </row>
    <row r="717" spans="3:3" ht="15.75" customHeight="1">
      <c r="C717" s="21"/>
    </row>
    <row r="718" spans="3:3" ht="15.75" customHeight="1">
      <c r="C718" s="21"/>
    </row>
    <row r="719" spans="3:3" ht="15.75" customHeight="1">
      <c r="C719" s="21"/>
    </row>
    <row r="720" spans="3:3" ht="15.75" customHeight="1">
      <c r="C720" s="21"/>
    </row>
    <row r="721" spans="3:3" ht="15.75" customHeight="1">
      <c r="C721" s="21"/>
    </row>
    <row r="722" spans="3:3" ht="15.75" customHeight="1">
      <c r="C722" s="21"/>
    </row>
    <row r="723" spans="3:3" ht="15.75" customHeight="1">
      <c r="C723" s="21"/>
    </row>
    <row r="724" spans="3:3" ht="15.75" customHeight="1">
      <c r="C724" s="21"/>
    </row>
    <row r="725" spans="3:3" ht="15.75" customHeight="1">
      <c r="C725" s="21"/>
    </row>
    <row r="726" spans="3:3" ht="15.75" customHeight="1">
      <c r="C726" s="21"/>
    </row>
    <row r="727" spans="3:3" ht="15.75" customHeight="1">
      <c r="C727" s="21"/>
    </row>
    <row r="728" spans="3:3" ht="15.75" customHeight="1">
      <c r="C728" s="21"/>
    </row>
    <row r="729" spans="3:3" ht="15.75" customHeight="1">
      <c r="C729" s="21"/>
    </row>
    <row r="730" spans="3:3" ht="15.75" customHeight="1">
      <c r="C730" s="21"/>
    </row>
    <row r="731" spans="3:3" ht="15.75" customHeight="1">
      <c r="C731" s="21"/>
    </row>
    <row r="732" spans="3:3" ht="15.75" customHeight="1">
      <c r="C732" s="21"/>
    </row>
    <row r="733" spans="3:3" ht="15.75" customHeight="1">
      <c r="C733" s="21"/>
    </row>
    <row r="734" spans="3:3" ht="15.75" customHeight="1">
      <c r="C734" s="21"/>
    </row>
    <row r="735" spans="3:3" ht="15.75" customHeight="1">
      <c r="C735" s="21"/>
    </row>
    <row r="736" spans="3:3" ht="15.75" customHeight="1">
      <c r="C736" s="21"/>
    </row>
    <row r="737" spans="3:3" ht="15.75" customHeight="1">
      <c r="C737" s="21"/>
    </row>
    <row r="738" spans="3:3" ht="15.75" customHeight="1">
      <c r="C738" s="21"/>
    </row>
    <row r="739" spans="3:3" ht="15.75" customHeight="1">
      <c r="C739" s="21"/>
    </row>
    <row r="740" spans="3:3" ht="15.75" customHeight="1">
      <c r="C740" s="21"/>
    </row>
    <row r="741" spans="3:3" ht="15.75" customHeight="1">
      <c r="C741" s="21"/>
    </row>
    <row r="742" spans="3:3" ht="15.75" customHeight="1">
      <c r="C742" s="21"/>
    </row>
    <row r="743" spans="3:3" ht="15.75" customHeight="1">
      <c r="C743" s="21"/>
    </row>
    <row r="744" spans="3:3" ht="15.75" customHeight="1">
      <c r="C744" s="21"/>
    </row>
    <row r="745" spans="3:3" ht="15.75" customHeight="1">
      <c r="C745" s="21"/>
    </row>
    <row r="746" spans="3:3" ht="15.75" customHeight="1">
      <c r="C746" s="21"/>
    </row>
    <row r="747" spans="3:3" ht="15.75" customHeight="1">
      <c r="C747" s="21"/>
    </row>
    <row r="748" spans="3:3" ht="15.75" customHeight="1">
      <c r="C748" s="21"/>
    </row>
    <row r="749" spans="3:3" ht="15.75" customHeight="1">
      <c r="C749" s="21"/>
    </row>
    <row r="750" spans="3:3" ht="15.75" customHeight="1">
      <c r="C750" s="21"/>
    </row>
    <row r="751" spans="3:3" ht="15.75" customHeight="1">
      <c r="C751" s="21"/>
    </row>
    <row r="752" spans="3:3" ht="15.75" customHeight="1">
      <c r="C752" s="21"/>
    </row>
    <row r="753" spans="3:3" ht="15.75" customHeight="1">
      <c r="C753" s="21"/>
    </row>
    <row r="754" spans="3:3" ht="15.75" customHeight="1">
      <c r="C754" s="21"/>
    </row>
    <row r="755" spans="3:3" ht="15.75" customHeight="1">
      <c r="C755" s="21"/>
    </row>
    <row r="756" spans="3:3" ht="15.75" customHeight="1">
      <c r="C756" s="21"/>
    </row>
    <row r="757" spans="3:3" ht="15.75" customHeight="1">
      <c r="C757" s="21"/>
    </row>
    <row r="758" spans="3:3" ht="15.75" customHeight="1">
      <c r="C758" s="21"/>
    </row>
    <row r="759" spans="3:3" ht="15.75" customHeight="1">
      <c r="C759" s="21"/>
    </row>
    <row r="760" spans="3:3" ht="15.75" customHeight="1">
      <c r="C760" s="21"/>
    </row>
    <row r="761" spans="3:3" ht="15.75" customHeight="1">
      <c r="C761" s="21"/>
    </row>
    <row r="762" spans="3:3" ht="15.75" customHeight="1">
      <c r="C762" s="21"/>
    </row>
    <row r="763" spans="3:3" ht="15.75" customHeight="1">
      <c r="C763" s="21"/>
    </row>
    <row r="764" spans="3:3" ht="15.75" customHeight="1">
      <c r="C764" s="21"/>
    </row>
    <row r="765" spans="3:3" ht="15.75" customHeight="1">
      <c r="C765" s="21"/>
    </row>
    <row r="766" spans="3:3" ht="15.75" customHeight="1">
      <c r="C766" s="21"/>
    </row>
    <row r="767" spans="3:3" ht="15.75" customHeight="1">
      <c r="C767" s="21"/>
    </row>
    <row r="768" spans="3:3" ht="15.75" customHeight="1">
      <c r="C768" s="21"/>
    </row>
    <row r="769" spans="3:3" ht="15.75" customHeight="1">
      <c r="C769" s="21"/>
    </row>
    <row r="770" spans="3:3" ht="15.75" customHeight="1">
      <c r="C770" s="21"/>
    </row>
    <row r="771" spans="3:3" ht="15.75" customHeight="1">
      <c r="C771" s="21"/>
    </row>
    <row r="772" spans="3:3" ht="15.75" customHeight="1">
      <c r="C772" s="21"/>
    </row>
    <row r="773" spans="3:3" ht="15.75" customHeight="1">
      <c r="C773" s="21"/>
    </row>
    <row r="774" spans="3:3" ht="15.75" customHeight="1">
      <c r="C774" s="21"/>
    </row>
    <row r="775" spans="3:3" ht="15.75" customHeight="1">
      <c r="C775" s="21"/>
    </row>
    <row r="776" spans="3:3" ht="15.75" customHeight="1">
      <c r="C776" s="21"/>
    </row>
    <row r="777" spans="3:3" ht="15.75" customHeight="1">
      <c r="C777" s="21"/>
    </row>
    <row r="778" spans="3:3" ht="15.75" customHeight="1">
      <c r="C778" s="21"/>
    </row>
    <row r="779" spans="3:3" ht="15.75" customHeight="1">
      <c r="C779" s="21"/>
    </row>
    <row r="780" spans="3:3" ht="15.75" customHeight="1">
      <c r="C780" s="21"/>
    </row>
    <row r="781" spans="3:3" ht="15.75" customHeight="1">
      <c r="C781" s="21"/>
    </row>
    <row r="782" spans="3:3" ht="15.75" customHeight="1">
      <c r="C782" s="21"/>
    </row>
    <row r="783" spans="3:3" ht="15.75" customHeight="1">
      <c r="C783" s="21"/>
    </row>
    <row r="784" spans="3:3" ht="15.75" customHeight="1">
      <c r="C784" s="21"/>
    </row>
    <row r="785" spans="3:3" ht="15.75" customHeight="1">
      <c r="C785" s="21"/>
    </row>
    <row r="786" spans="3:3" ht="15.75" customHeight="1">
      <c r="C786" s="21"/>
    </row>
    <row r="787" spans="3:3" ht="15.75" customHeight="1">
      <c r="C787" s="21"/>
    </row>
    <row r="788" spans="3:3" ht="15.75" customHeight="1">
      <c r="C788" s="21"/>
    </row>
    <row r="789" spans="3:3" ht="15.75" customHeight="1">
      <c r="C789" s="21"/>
    </row>
    <row r="790" spans="3:3" ht="15.75" customHeight="1">
      <c r="C790" s="21"/>
    </row>
    <row r="791" spans="3:3" ht="15.75" customHeight="1">
      <c r="C791" s="21"/>
    </row>
    <row r="792" spans="3:3" ht="15.75" customHeight="1">
      <c r="C792" s="21"/>
    </row>
    <row r="793" spans="3:3" ht="15.75" customHeight="1">
      <c r="C793" s="21"/>
    </row>
    <row r="794" spans="3:3" ht="15.75" customHeight="1">
      <c r="C794" s="21"/>
    </row>
    <row r="795" spans="3:3" ht="15.75" customHeight="1">
      <c r="C795" s="21"/>
    </row>
    <row r="796" spans="3:3" ht="15.75" customHeight="1">
      <c r="C796" s="21"/>
    </row>
    <row r="797" spans="3:3" ht="15.75" customHeight="1">
      <c r="C797" s="21"/>
    </row>
    <row r="798" spans="3:3" ht="15.75" customHeight="1">
      <c r="C798" s="21"/>
    </row>
    <row r="799" spans="3:3" ht="15.75" customHeight="1">
      <c r="C799" s="21"/>
    </row>
    <row r="800" spans="3:3" ht="15.75" customHeight="1">
      <c r="C800" s="21"/>
    </row>
    <row r="801" spans="3:3" ht="15.75" customHeight="1">
      <c r="C801" s="21"/>
    </row>
    <row r="802" spans="3:3" ht="15.75" customHeight="1">
      <c r="C802" s="21"/>
    </row>
    <row r="803" spans="3:3" ht="15.75" customHeight="1">
      <c r="C803" s="21"/>
    </row>
    <row r="804" spans="3:3" ht="15.75" customHeight="1">
      <c r="C804" s="21"/>
    </row>
    <row r="805" spans="3:3" ht="15.75" customHeight="1">
      <c r="C805" s="21"/>
    </row>
    <row r="806" spans="3:3" ht="15.75" customHeight="1">
      <c r="C806" s="21"/>
    </row>
    <row r="807" spans="3:3" ht="15.75" customHeight="1">
      <c r="C807" s="21"/>
    </row>
    <row r="808" spans="3:3" ht="15.75" customHeight="1">
      <c r="C808" s="21"/>
    </row>
    <row r="809" spans="3:3" ht="15.75" customHeight="1">
      <c r="C809" s="21"/>
    </row>
    <row r="810" spans="3:3" ht="15.75" customHeight="1">
      <c r="C810" s="21"/>
    </row>
    <row r="811" spans="3:3" ht="15.75" customHeight="1">
      <c r="C811" s="21"/>
    </row>
    <row r="812" spans="3:3" ht="15.75" customHeight="1">
      <c r="C812" s="21"/>
    </row>
    <row r="813" spans="3:3" ht="15.75" customHeight="1">
      <c r="C813" s="21"/>
    </row>
    <row r="814" spans="3:3" ht="15.75" customHeight="1">
      <c r="C814" s="21"/>
    </row>
    <row r="815" spans="3:3" ht="15.75" customHeight="1">
      <c r="C815" s="21"/>
    </row>
    <row r="816" spans="3:3" ht="15.75" customHeight="1">
      <c r="C816" s="21"/>
    </row>
    <row r="817" spans="3:3" ht="15.75" customHeight="1">
      <c r="C817" s="21"/>
    </row>
    <row r="818" spans="3:3" ht="15.75" customHeight="1">
      <c r="C818" s="21"/>
    </row>
    <row r="819" spans="3:3" ht="15.75" customHeight="1">
      <c r="C819" s="21"/>
    </row>
    <row r="820" spans="3:3" ht="15.75" customHeight="1">
      <c r="C820" s="21"/>
    </row>
    <row r="821" spans="3:3" ht="15.75" customHeight="1">
      <c r="C821" s="21"/>
    </row>
    <row r="822" spans="3:3" ht="15.75" customHeight="1">
      <c r="C822" s="21"/>
    </row>
    <row r="823" spans="3:3" ht="15.75" customHeight="1">
      <c r="C823" s="21"/>
    </row>
    <row r="824" spans="3:3" ht="15.75" customHeight="1">
      <c r="C824" s="21"/>
    </row>
    <row r="825" spans="3:3" ht="15.75" customHeight="1">
      <c r="C825" s="21"/>
    </row>
    <row r="826" spans="3:3" ht="15.75" customHeight="1">
      <c r="C826" s="21"/>
    </row>
    <row r="827" spans="3:3" ht="15.75" customHeight="1">
      <c r="C827" s="21"/>
    </row>
    <row r="828" spans="3:3" ht="15.75" customHeight="1">
      <c r="C828" s="21"/>
    </row>
    <row r="829" spans="3:3" ht="15.75" customHeight="1">
      <c r="C829" s="21"/>
    </row>
    <row r="830" spans="3:3" ht="15.75" customHeight="1">
      <c r="C830" s="21"/>
    </row>
    <row r="831" spans="3:3" ht="15.75" customHeight="1">
      <c r="C831" s="21"/>
    </row>
    <row r="832" spans="3:3" ht="15.75" customHeight="1">
      <c r="C832" s="21"/>
    </row>
    <row r="833" spans="3:3" ht="15.75" customHeight="1">
      <c r="C833" s="21"/>
    </row>
    <row r="834" spans="3:3" ht="15.75" customHeight="1">
      <c r="C834" s="21"/>
    </row>
    <row r="835" spans="3:3" ht="15.75" customHeight="1">
      <c r="C835" s="21"/>
    </row>
    <row r="836" spans="3:3" ht="15.75" customHeight="1">
      <c r="C836" s="21"/>
    </row>
    <row r="837" spans="3:3" ht="15.75" customHeight="1">
      <c r="C837" s="21"/>
    </row>
    <row r="838" spans="3:3" ht="15.75" customHeight="1">
      <c r="C838" s="21"/>
    </row>
    <row r="839" spans="3:3" ht="15.75" customHeight="1">
      <c r="C839" s="21"/>
    </row>
    <row r="840" spans="3:3" ht="15.75" customHeight="1">
      <c r="C840" s="21"/>
    </row>
    <row r="841" spans="3:3" ht="15.75" customHeight="1">
      <c r="C841" s="21"/>
    </row>
    <row r="842" spans="3:3" ht="15.75" customHeight="1">
      <c r="C842" s="21"/>
    </row>
    <row r="843" spans="3:3" ht="15.75" customHeight="1">
      <c r="C843" s="21"/>
    </row>
    <row r="844" spans="3:3" ht="15.75" customHeight="1">
      <c r="C844" s="21"/>
    </row>
    <row r="845" spans="3:3" ht="15.75" customHeight="1">
      <c r="C845" s="21"/>
    </row>
    <row r="846" spans="3:3" ht="15.75" customHeight="1">
      <c r="C846" s="21"/>
    </row>
    <row r="847" spans="3:3" ht="15.75" customHeight="1">
      <c r="C847" s="21"/>
    </row>
    <row r="848" spans="3:3" ht="15.75" customHeight="1">
      <c r="C848" s="21"/>
    </row>
    <row r="849" spans="3:3" ht="15.75" customHeight="1">
      <c r="C849" s="21"/>
    </row>
    <row r="850" spans="3:3" ht="15.75" customHeight="1">
      <c r="C850" s="21"/>
    </row>
    <row r="851" spans="3:3" ht="15.75" customHeight="1">
      <c r="C851" s="21"/>
    </row>
    <row r="852" spans="3:3" ht="15.75" customHeight="1">
      <c r="C852" s="21"/>
    </row>
    <row r="853" spans="3:3" ht="15.75" customHeight="1">
      <c r="C853" s="21"/>
    </row>
    <row r="854" spans="3:3" ht="15.75" customHeight="1">
      <c r="C854" s="21"/>
    </row>
    <row r="855" spans="3:3" ht="15.75" customHeight="1">
      <c r="C855" s="21"/>
    </row>
    <row r="856" spans="3:3" ht="15.75" customHeight="1">
      <c r="C856" s="21"/>
    </row>
    <row r="857" spans="3:3" ht="15.75" customHeight="1">
      <c r="C857" s="21"/>
    </row>
    <row r="858" spans="3:3" ht="15.75" customHeight="1">
      <c r="C858" s="21"/>
    </row>
    <row r="859" spans="3:3" ht="15.75" customHeight="1">
      <c r="C859" s="21"/>
    </row>
    <row r="860" spans="3:3" ht="15.75" customHeight="1">
      <c r="C860" s="21"/>
    </row>
    <row r="861" spans="3:3" ht="15.75" customHeight="1">
      <c r="C861" s="21"/>
    </row>
    <row r="862" spans="3:3" ht="15.75" customHeight="1">
      <c r="C862" s="21"/>
    </row>
    <row r="863" spans="3:3" ht="15.75" customHeight="1">
      <c r="C863" s="21"/>
    </row>
    <row r="864" spans="3:3" ht="15.75" customHeight="1">
      <c r="C864" s="21"/>
    </row>
    <row r="865" spans="3:3" ht="15.75" customHeight="1">
      <c r="C865" s="21"/>
    </row>
    <row r="866" spans="3:3" ht="15.75" customHeight="1">
      <c r="C866" s="21"/>
    </row>
    <row r="867" spans="3:3" ht="15.75" customHeight="1">
      <c r="C867" s="21"/>
    </row>
    <row r="868" spans="3:3" ht="15.75" customHeight="1">
      <c r="C868" s="21"/>
    </row>
    <row r="869" spans="3:3" ht="15.75" customHeight="1">
      <c r="C869" s="21"/>
    </row>
    <row r="870" spans="3:3" ht="15.75" customHeight="1">
      <c r="C870" s="21"/>
    </row>
    <row r="871" spans="3:3" ht="15.75" customHeight="1">
      <c r="C871" s="21"/>
    </row>
    <row r="872" spans="3:3" ht="15.75" customHeight="1">
      <c r="C872" s="21"/>
    </row>
    <row r="873" spans="3:3" ht="15.75" customHeight="1">
      <c r="C873" s="21"/>
    </row>
    <row r="874" spans="3:3" ht="15.75" customHeight="1">
      <c r="C874" s="21"/>
    </row>
    <row r="875" spans="3:3" ht="15.75" customHeight="1">
      <c r="C875" s="21"/>
    </row>
    <row r="876" spans="3:3" ht="15.75" customHeight="1">
      <c r="C876" s="21"/>
    </row>
    <row r="877" spans="3:3" ht="15.75" customHeight="1">
      <c r="C877" s="21"/>
    </row>
    <row r="878" spans="3:3" ht="15.75" customHeight="1">
      <c r="C878" s="21"/>
    </row>
    <row r="879" spans="3:3" ht="15.75" customHeight="1">
      <c r="C879" s="21"/>
    </row>
    <row r="880" spans="3:3" ht="15.75" customHeight="1">
      <c r="C880" s="21"/>
    </row>
    <row r="881" spans="3:3" ht="15.75" customHeight="1">
      <c r="C881" s="21"/>
    </row>
    <row r="882" spans="3:3" ht="15.75" customHeight="1">
      <c r="C882" s="21"/>
    </row>
    <row r="883" spans="3:3" ht="15.75" customHeight="1">
      <c r="C883" s="21"/>
    </row>
    <row r="884" spans="3:3" ht="15.75" customHeight="1">
      <c r="C884" s="21"/>
    </row>
    <row r="885" spans="3:3" ht="15.75" customHeight="1">
      <c r="C885" s="21"/>
    </row>
    <row r="886" spans="3:3" ht="15.75" customHeight="1">
      <c r="C886" s="21"/>
    </row>
    <row r="887" spans="3:3" ht="15.75" customHeight="1">
      <c r="C887" s="21"/>
    </row>
    <row r="888" spans="3:3" ht="15.75" customHeight="1">
      <c r="C888" s="21"/>
    </row>
    <row r="889" spans="3:3" ht="15.75" customHeight="1">
      <c r="C889" s="21"/>
    </row>
    <row r="890" spans="3:3" ht="15.75" customHeight="1">
      <c r="C890" s="21"/>
    </row>
    <row r="891" spans="3:3" ht="15.75" customHeight="1">
      <c r="C891" s="21"/>
    </row>
    <row r="892" spans="3:3" ht="15.75" customHeight="1">
      <c r="C892" s="21"/>
    </row>
    <row r="893" spans="3:3" ht="15.75" customHeight="1">
      <c r="C893" s="21"/>
    </row>
    <row r="894" spans="3:3" ht="15.75" customHeight="1">
      <c r="C894" s="21"/>
    </row>
    <row r="895" spans="3:3" ht="15.75" customHeight="1">
      <c r="C895" s="21"/>
    </row>
    <row r="896" spans="3:3" ht="15.75" customHeight="1">
      <c r="C896" s="21"/>
    </row>
    <row r="897" spans="3:3" ht="15.75" customHeight="1">
      <c r="C897" s="21"/>
    </row>
    <row r="898" spans="3:3" ht="15.75" customHeight="1">
      <c r="C898" s="21"/>
    </row>
    <row r="899" spans="3:3" ht="15.75" customHeight="1">
      <c r="C899" s="21"/>
    </row>
    <row r="900" spans="3:3" ht="15.75" customHeight="1">
      <c r="C900" s="21"/>
    </row>
    <row r="901" spans="3:3" ht="15.75" customHeight="1">
      <c r="C901" s="21"/>
    </row>
    <row r="902" spans="3:3" ht="15.75" customHeight="1">
      <c r="C902" s="21"/>
    </row>
    <row r="903" spans="3:3" ht="15.75" customHeight="1">
      <c r="C903" s="21"/>
    </row>
    <row r="904" spans="3:3" ht="15.75" customHeight="1">
      <c r="C904" s="21"/>
    </row>
    <row r="905" spans="3:3" ht="15.75" customHeight="1">
      <c r="C905" s="21"/>
    </row>
    <row r="906" spans="3:3" ht="15.75" customHeight="1">
      <c r="C906" s="21"/>
    </row>
    <row r="907" spans="3:3" ht="15.75" customHeight="1">
      <c r="C907" s="21"/>
    </row>
    <row r="908" spans="3:3" ht="15.75" customHeight="1">
      <c r="C908" s="21"/>
    </row>
    <row r="909" spans="3:3" ht="15.75" customHeight="1">
      <c r="C909" s="21"/>
    </row>
    <row r="910" spans="3:3" ht="15.75" customHeight="1">
      <c r="C910" s="21"/>
    </row>
    <row r="911" spans="3:3" ht="15.75" customHeight="1">
      <c r="C911" s="21"/>
    </row>
    <row r="912" spans="3:3" ht="15.75" customHeight="1">
      <c r="C912" s="21"/>
    </row>
    <row r="913" spans="3:3" ht="15.75" customHeight="1">
      <c r="C913" s="21"/>
    </row>
    <row r="914" spans="3:3" ht="15.75" customHeight="1">
      <c r="C914" s="21"/>
    </row>
    <row r="915" spans="3:3" ht="15.75" customHeight="1">
      <c r="C915" s="21"/>
    </row>
    <row r="916" spans="3:3" ht="15.75" customHeight="1">
      <c r="C916" s="21"/>
    </row>
    <row r="917" spans="3:3" ht="15.75" customHeight="1">
      <c r="C917" s="21"/>
    </row>
    <row r="918" spans="3:3" ht="15.75" customHeight="1">
      <c r="C918" s="21"/>
    </row>
    <row r="919" spans="3:3" ht="15.75" customHeight="1">
      <c r="C919" s="21"/>
    </row>
    <row r="920" spans="3:3" ht="15.75" customHeight="1">
      <c r="C920" s="21"/>
    </row>
    <row r="921" spans="3:3" ht="15.75" customHeight="1">
      <c r="C921" s="21"/>
    </row>
    <row r="922" spans="3:3" ht="15.75" customHeight="1">
      <c r="C922" s="21"/>
    </row>
    <row r="923" spans="3:3" ht="15.75" customHeight="1">
      <c r="C923" s="21"/>
    </row>
    <row r="924" spans="3:3" ht="15.75" customHeight="1">
      <c r="C924" s="21"/>
    </row>
    <row r="925" spans="3:3" ht="15.75" customHeight="1">
      <c r="C925" s="21"/>
    </row>
    <row r="926" spans="3:3" ht="15.75" customHeight="1">
      <c r="C926" s="21"/>
    </row>
    <row r="927" spans="3:3" ht="15.75" customHeight="1">
      <c r="C927" s="21"/>
    </row>
    <row r="928" spans="3:3" ht="15.75" customHeight="1">
      <c r="C928" s="21"/>
    </row>
    <row r="929" spans="3:3" ht="15.75" customHeight="1">
      <c r="C929" s="21"/>
    </row>
    <row r="930" spans="3:3" ht="15.75" customHeight="1">
      <c r="C930" s="21"/>
    </row>
    <row r="931" spans="3:3" ht="15.75" customHeight="1">
      <c r="C931" s="21"/>
    </row>
    <row r="932" spans="3:3" ht="15.75" customHeight="1">
      <c r="C932" s="21"/>
    </row>
    <row r="933" spans="3:3" ht="15.75" customHeight="1">
      <c r="C933" s="21"/>
    </row>
    <row r="934" spans="3:3" ht="15.75" customHeight="1">
      <c r="C934" s="21"/>
    </row>
    <row r="935" spans="3:3" ht="15.75" customHeight="1">
      <c r="C935" s="21"/>
    </row>
    <row r="936" spans="3:3" ht="15.75" customHeight="1">
      <c r="C936" s="21"/>
    </row>
    <row r="937" spans="3:3" ht="15.75" customHeight="1">
      <c r="C937" s="21"/>
    </row>
    <row r="938" spans="3:3" ht="15.75" customHeight="1">
      <c r="C938" s="21"/>
    </row>
    <row r="939" spans="3:3" ht="15.75" customHeight="1">
      <c r="C939" s="21"/>
    </row>
    <row r="940" spans="3:3" ht="15.75" customHeight="1">
      <c r="C940" s="21"/>
    </row>
    <row r="941" spans="3:3" ht="15.75" customHeight="1">
      <c r="C941" s="21"/>
    </row>
    <row r="942" spans="3:3" ht="15.75" customHeight="1">
      <c r="C942" s="21"/>
    </row>
    <row r="943" spans="3:3" ht="15.75" customHeight="1">
      <c r="C943" s="21"/>
    </row>
    <row r="944" spans="3:3" ht="15.75" customHeight="1">
      <c r="C944" s="21"/>
    </row>
    <row r="945" spans="3:3" ht="15.75" customHeight="1">
      <c r="C945" s="21"/>
    </row>
    <row r="946" spans="3:3" ht="15.75" customHeight="1">
      <c r="C946" s="21"/>
    </row>
    <row r="947" spans="3:3" ht="15.75" customHeight="1">
      <c r="C947" s="21"/>
    </row>
    <row r="948" spans="3:3" ht="15.75" customHeight="1">
      <c r="C948" s="21"/>
    </row>
    <row r="949" spans="3:3" ht="15.75" customHeight="1">
      <c r="C949" s="21"/>
    </row>
    <row r="950" spans="3:3" ht="15.75" customHeight="1">
      <c r="C950" s="21"/>
    </row>
    <row r="951" spans="3:3" ht="15.75" customHeight="1">
      <c r="C951" s="21"/>
    </row>
    <row r="952" spans="3:3" ht="15.75" customHeight="1">
      <c r="C952" s="21"/>
    </row>
    <row r="953" spans="3:3" ht="15.75" customHeight="1">
      <c r="C953" s="21"/>
    </row>
    <row r="954" spans="3:3" ht="15.75" customHeight="1">
      <c r="C954" s="21"/>
    </row>
    <row r="955" spans="3:3" ht="15.75" customHeight="1">
      <c r="C955" s="21"/>
    </row>
    <row r="956" spans="3:3" ht="15.75" customHeight="1">
      <c r="C956" s="21"/>
    </row>
    <row r="957" spans="3:3" ht="15.75" customHeight="1">
      <c r="C957" s="21"/>
    </row>
    <row r="958" spans="3:3" ht="15.75" customHeight="1">
      <c r="C958" s="21"/>
    </row>
    <row r="959" spans="3:3" ht="15.75" customHeight="1">
      <c r="C959" s="21"/>
    </row>
    <row r="960" spans="3:3" ht="15.75" customHeight="1">
      <c r="C960" s="21"/>
    </row>
    <row r="961" spans="3:3" ht="15.75" customHeight="1">
      <c r="C961" s="21"/>
    </row>
    <row r="962" spans="3:3" ht="15.75" customHeight="1">
      <c r="C962" s="21"/>
    </row>
    <row r="963" spans="3:3" ht="15.75" customHeight="1">
      <c r="C963" s="21"/>
    </row>
    <row r="964" spans="3:3" ht="15.75" customHeight="1">
      <c r="C964" s="21"/>
    </row>
    <row r="965" spans="3:3" ht="15.75" customHeight="1">
      <c r="C965" s="21"/>
    </row>
    <row r="966" spans="3:3" ht="15.75" customHeight="1">
      <c r="C966" s="21"/>
    </row>
    <row r="967" spans="3:3" ht="15.75" customHeight="1">
      <c r="C967" s="21"/>
    </row>
    <row r="968" spans="3:3" ht="15.75" customHeight="1">
      <c r="C968" s="21"/>
    </row>
    <row r="969" spans="3:3" ht="15.75" customHeight="1">
      <c r="C969" s="21"/>
    </row>
    <row r="970" spans="3:3" ht="15.75" customHeight="1">
      <c r="C970" s="21"/>
    </row>
    <row r="971" spans="3:3" ht="15.75" customHeight="1">
      <c r="C971" s="21"/>
    </row>
    <row r="972" spans="3:3" ht="15.75" customHeight="1">
      <c r="C972" s="21"/>
    </row>
    <row r="973" spans="3:3" ht="15.75" customHeight="1">
      <c r="C973" s="21"/>
    </row>
    <row r="974" spans="3:3" ht="15.75" customHeight="1">
      <c r="C974" s="21"/>
    </row>
    <row r="975" spans="3:3" ht="15.75" customHeight="1">
      <c r="C975" s="21"/>
    </row>
    <row r="976" spans="3:3" ht="15.75" customHeight="1">
      <c r="C976" s="21"/>
    </row>
    <row r="977" spans="3:3" ht="15.75" customHeight="1">
      <c r="C977" s="21"/>
    </row>
    <row r="978" spans="3:3" ht="15.75" customHeight="1">
      <c r="C978" s="21"/>
    </row>
    <row r="979" spans="3:3" ht="15.75" customHeight="1">
      <c r="C979" s="21"/>
    </row>
    <row r="980" spans="3:3" ht="15.75" customHeight="1">
      <c r="C980" s="21"/>
    </row>
    <row r="981" spans="3:3" ht="15.75" customHeight="1">
      <c r="C981" s="21"/>
    </row>
    <row r="982" spans="3:3" ht="15.75" customHeight="1">
      <c r="C982" s="21"/>
    </row>
    <row r="983" spans="3:3" ht="15.75" customHeight="1">
      <c r="C983" s="21"/>
    </row>
    <row r="984" spans="3:3" ht="15.75" customHeight="1">
      <c r="C984" s="21"/>
    </row>
    <row r="985" spans="3:3" ht="15.75" customHeight="1">
      <c r="C985" s="21"/>
    </row>
    <row r="986" spans="3:3" ht="15.75" customHeight="1">
      <c r="C986" s="21"/>
    </row>
    <row r="987" spans="3:3" ht="15.75" customHeight="1">
      <c r="C987" s="21"/>
    </row>
    <row r="988" spans="3:3" ht="15.75" customHeight="1">
      <c r="C988" s="21"/>
    </row>
    <row r="989" spans="3:3" ht="15.75" customHeight="1">
      <c r="C989" s="21"/>
    </row>
    <row r="990" spans="3:3" ht="15.75" customHeight="1">
      <c r="C990" s="21"/>
    </row>
    <row r="991" spans="3:3" ht="15.75" customHeight="1">
      <c r="C991" s="21"/>
    </row>
    <row r="992" spans="3:3" ht="15.75" customHeight="1">
      <c r="C992" s="21"/>
    </row>
    <row r="993" spans="3:3" ht="15.75" customHeight="1">
      <c r="C993" s="21"/>
    </row>
    <row r="994" spans="3:3" ht="15.75" customHeight="1">
      <c r="C994" s="21"/>
    </row>
    <row r="995" spans="3:3" ht="15.75" customHeight="1">
      <c r="C995" s="21"/>
    </row>
    <row r="996" spans="3:3" ht="15.75" customHeight="1">
      <c r="C996" s="21"/>
    </row>
    <row r="997" spans="3:3" ht="15.75" customHeight="1">
      <c r="C997" s="21"/>
    </row>
    <row r="998" spans="3:3" ht="15.75" customHeight="1">
      <c r="C998" s="21"/>
    </row>
    <row r="999" spans="3:3" ht="15.75" customHeight="1">
      <c r="C999" s="21"/>
    </row>
    <row r="1000" spans="3:3" ht="15.75" customHeight="1">
      <c r="C1000" s="21"/>
    </row>
    <row r="1001" spans="3:3" ht="15.75" customHeight="1">
      <c r="C1001" s="21"/>
    </row>
    <row r="1002" spans="3:3" ht="15.75" customHeight="1">
      <c r="C1002" s="21"/>
    </row>
  </sheetData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AF1003"/>
  <sheetViews>
    <sheetView topLeftCell="U106" workbookViewId="0">
      <selection activeCell="AE129" sqref="AE129"/>
    </sheetView>
  </sheetViews>
  <sheetFormatPr defaultColWidth="14.42578125" defaultRowHeight="15" customHeight="1"/>
  <cols>
    <col min="1" max="1" width="8.7109375" customWidth="1"/>
    <col min="2" max="2" width="10.42578125" customWidth="1"/>
    <col min="3" max="3" width="10.7109375" customWidth="1"/>
    <col min="4" max="4" width="18" customWidth="1"/>
    <col min="5" max="5" width="8.7109375" customWidth="1"/>
    <col min="6" max="6" width="27.42578125" customWidth="1"/>
    <col min="7" max="7" width="10.140625" customWidth="1"/>
    <col min="8" max="8" width="26.140625" customWidth="1"/>
    <col min="9" max="9" width="11.7109375" customWidth="1"/>
    <col min="10" max="10" width="37" customWidth="1"/>
    <col min="11" max="11" width="10.7109375" customWidth="1"/>
    <col min="12" max="12" width="35.5703125" customWidth="1"/>
    <col min="13" max="13" width="11" customWidth="1"/>
    <col min="14" max="14" width="30.140625" customWidth="1"/>
    <col min="15" max="15" width="11.140625" customWidth="1"/>
    <col min="16" max="16" width="27.5703125" customWidth="1"/>
    <col min="17" max="17" width="12.7109375" customWidth="1"/>
    <col min="18" max="18" width="26.42578125" customWidth="1"/>
    <col min="19" max="19" width="12.28515625" customWidth="1"/>
    <col min="20" max="20" width="26.7109375" customWidth="1"/>
    <col min="21" max="21" width="11" customWidth="1"/>
    <col min="22" max="22" width="27.85546875" customWidth="1"/>
    <col min="23" max="23" width="10.85546875" customWidth="1"/>
    <col min="24" max="24" width="26.28515625" customWidth="1"/>
    <col min="25" max="25" width="13.7109375" customWidth="1"/>
    <col min="26" max="26" width="27" customWidth="1"/>
    <col min="27" max="27" width="17.42578125" customWidth="1"/>
    <col min="28" max="28" width="32.7109375" customWidth="1"/>
    <col min="29" max="29" width="17.5703125" customWidth="1"/>
    <col min="30" max="30" width="32.7109375" customWidth="1"/>
    <col min="31" max="31" width="16.85546875" customWidth="1"/>
    <col min="32" max="32" width="32.7109375" customWidth="1"/>
  </cols>
  <sheetData>
    <row r="1" spans="1:32">
      <c r="A1" s="15" t="s">
        <v>62</v>
      </c>
      <c r="B1" s="20"/>
      <c r="C1" s="20"/>
      <c r="E1" s="20"/>
      <c r="G1" s="20"/>
      <c r="I1" s="20"/>
      <c r="K1" s="15"/>
      <c r="L1" s="15"/>
      <c r="M1" s="15"/>
      <c r="N1" s="15"/>
      <c r="O1" s="15"/>
      <c r="P1" s="15"/>
    </row>
    <row r="2" spans="1:32">
      <c r="A2" s="15" t="s">
        <v>128</v>
      </c>
      <c r="B2" s="20"/>
      <c r="C2" s="20"/>
      <c r="E2" s="20"/>
      <c r="G2" s="20"/>
      <c r="I2" s="20"/>
      <c r="K2" s="15"/>
      <c r="L2" s="15"/>
      <c r="M2" s="15"/>
      <c r="N2" s="15"/>
      <c r="O2" s="15"/>
      <c r="P2" s="15"/>
    </row>
    <row r="3" spans="1:32">
      <c r="A3" s="15" t="s">
        <v>128</v>
      </c>
      <c r="B3" s="20"/>
      <c r="C3" s="20"/>
      <c r="E3" s="20"/>
      <c r="G3" s="20"/>
      <c r="I3" s="20"/>
      <c r="K3" s="15"/>
      <c r="L3" s="15"/>
      <c r="M3" s="15"/>
      <c r="N3" s="15"/>
      <c r="O3" s="15"/>
      <c r="P3" s="15"/>
    </row>
    <row r="4" spans="1:32">
      <c r="A4" t="s">
        <v>129</v>
      </c>
      <c r="B4" s="20">
        <v>42936</v>
      </c>
      <c r="C4" s="20" t="s">
        <v>130</v>
      </c>
      <c r="D4" t="s">
        <v>1</v>
      </c>
      <c r="E4" s="20">
        <v>43222</v>
      </c>
      <c r="F4" t="s">
        <v>1</v>
      </c>
      <c r="G4" s="20">
        <v>43289</v>
      </c>
      <c r="H4" t="s">
        <v>2</v>
      </c>
      <c r="I4" s="20" t="s">
        <v>86</v>
      </c>
      <c r="J4" t="s">
        <v>131</v>
      </c>
      <c r="K4" s="15" t="s">
        <v>88</v>
      </c>
      <c r="L4" s="15" t="s">
        <v>132</v>
      </c>
      <c r="M4" s="15" t="s">
        <v>90</v>
      </c>
      <c r="N4" s="15" t="s">
        <v>91</v>
      </c>
      <c r="O4" s="15" t="s">
        <v>6</v>
      </c>
      <c r="P4" s="15" t="s">
        <v>92</v>
      </c>
      <c r="Q4" s="15" t="s">
        <v>7</v>
      </c>
      <c r="R4" s="15" t="s">
        <v>93</v>
      </c>
      <c r="S4" s="15" t="s">
        <v>133</v>
      </c>
      <c r="T4" s="15" t="s">
        <v>134</v>
      </c>
      <c r="U4" s="31">
        <v>43840</v>
      </c>
      <c r="V4" s="15" t="s">
        <v>135</v>
      </c>
      <c r="W4" s="15" t="s">
        <v>136</v>
      </c>
      <c r="X4" s="15" t="s">
        <v>137</v>
      </c>
      <c r="Y4" s="31">
        <v>44147</v>
      </c>
      <c r="Z4" s="15" t="s">
        <v>138</v>
      </c>
      <c r="AA4" s="15" t="s">
        <v>122</v>
      </c>
      <c r="AB4" s="15" t="s">
        <v>123</v>
      </c>
      <c r="AC4" s="15" t="s">
        <v>139</v>
      </c>
      <c r="AD4" s="15" t="s">
        <v>140</v>
      </c>
      <c r="AE4" s="15" t="s">
        <v>141</v>
      </c>
      <c r="AF4" s="15" t="s">
        <v>142</v>
      </c>
    </row>
    <row r="5" spans="1:32">
      <c r="A5" s="21">
        <v>1</v>
      </c>
      <c r="B5" s="21">
        <v>6</v>
      </c>
      <c r="C5" s="21">
        <v>5.8</v>
      </c>
      <c r="E5">
        <v>4.7</v>
      </c>
      <c r="G5">
        <v>6</v>
      </c>
      <c r="H5" t="s">
        <v>56</v>
      </c>
      <c r="I5" s="33">
        <v>5.0999999999999996</v>
      </c>
      <c r="J5" s="15" t="s">
        <v>56</v>
      </c>
      <c r="K5" s="34">
        <v>4.5</v>
      </c>
      <c r="L5" s="15" t="s">
        <v>56</v>
      </c>
      <c r="M5" s="35">
        <v>5.8</v>
      </c>
      <c r="N5" s="15" t="s">
        <v>56</v>
      </c>
      <c r="O5" s="35">
        <v>5.5</v>
      </c>
      <c r="P5" s="15" t="s">
        <v>56</v>
      </c>
      <c r="Q5" s="35">
        <v>5.7</v>
      </c>
      <c r="R5" s="15" t="s">
        <v>56</v>
      </c>
      <c r="S5" s="35">
        <v>5.8</v>
      </c>
      <c r="T5" s="15" t="s">
        <v>56</v>
      </c>
      <c r="U5" s="35">
        <v>5.66</v>
      </c>
      <c r="V5" s="15" t="s">
        <v>56</v>
      </c>
      <c r="W5" s="34">
        <v>5.51</v>
      </c>
      <c r="X5" s="15" t="s">
        <v>56</v>
      </c>
      <c r="Y5" s="49">
        <v>6.14</v>
      </c>
      <c r="Z5" s="15" t="s">
        <v>56</v>
      </c>
      <c r="AA5" s="34">
        <v>6.37</v>
      </c>
      <c r="AB5" s="15" t="s">
        <v>56</v>
      </c>
      <c r="AC5" s="61">
        <v>6.36</v>
      </c>
      <c r="AD5" s="60" t="s">
        <v>56</v>
      </c>
      <c r="AE5" s="37">
        <v>7.2</v>
      </c>
      <c r="AF5" s="60" t="s">
        <v>56</v>
      </c>
    </row>
    <row r="6" spans="1:32">
      <c r="A6" s="21">
        <v>2</v>
      </c>
      <c r="B6" s="21">
        <v>6.1</v>
      </c>
      <c r="C6" s="21">
        <v>4.8</v>
      </c>
      <c r="E6">
        <v>5</v>
      </c>
      <c r="G6">
        <v>5.4</v>
      </c>
      <c r="H6" s="21" t="s">
        <v>56</v>
      </c>
      <c r="I6" s="33">
        <v>6.6</v>
      </c>
      <c r="J6" s="15" t="s">
        <v>56</v>
      </c>
      <c r="K6" s="34">
        <v>5.7</v>
      </c>
      <c r="L6" s="15" t="s">
        <v>56</v>
      </c>
      <c r="M6" s="35">
        <v>6.6</v>
      </c>
      <c r="N6" s="15" t="s">
        <v>56</v>
      </c>
      <c r="O6" s="35">
        <v>5.5</v>
      </c>
      <c r="P6" s="15" t="s">
        <v>56</v>
      </c>
      <c r="Q6" s="35">
        <v>6.5</v>
      </c>
      <c r="R6" s="15" t="s">
        <v>56</v>
      </c>
      <c r="S6" s="35">
        <v>6.3</v>
      </c>
      <c r="T6" s="15" t="s">
        <v>56</v>
      </c>
      <c r="U6" s="35">
        <v>5.34</v>
      </c>
      <c r="V6" s="15" t="s">
        <v>56</v>
      </c>
      <c r="W6" s="34">
        <v>6.21</v>
      </c>
      <c r="X6" s="15" t="s">
        <v>56</v>
      </c>
      <c r="Y6" s="49">
        <v>6.58</v>
      </c>
      <c r="Z6" s="15" t="s">
        <v>56</v>
      </c>
      <c r="AA6" s="34">
        <v>6.18</v>
      </c>
      <c r="AB6" s="15" t="s">
        <v>56</v>
      </c>
      <c r="AC6" s="61">
        <v>6.68</v>
      </c>
      <c r="AD6" s="60" t="s">
        <v>56</v>
      </c>
      <c r="AE6" s="37">
        <v>6.7</v>
      </c>
      <c r="AF6" s="60" t="s">
        <v>56</v>
      </c>
    </row>
    <row r="7" spans="1:32">
      <c r="A7" s="21">
        <v>3</v>
      </c>
      <c r="B7" s="21">
        <v>6.5</v>
      </c>
      <c r="C7" s="21">
        <v>5.6</v>
      </c>
      <c r="E7">
        <v>5.2</v>
      </c>
      <c r="G7">
        <v>5.7</v>
      </c>
      <c r="H7" s="21" t="s">
        <v>56</v>
      </c>
      <c r="I7" s="33">
        <v>5.3</v>
      </c>
      <c r="J7" s="15" t="s">
        <v>56</v>
      </c>
      <c r="K7" s="34">
        <v>4.9000000000000004</v>
      </c>
      <c r="L7" s="15" t="s">
        <v>56</v>
      </c>
      <c r="M7" s="35">
        <v>6</v>
      </c>
      <c r="N7" s="15" t="s">
        <v>56</v>
      </c>
      <c r="O7" s="35">
        <v>6.4</v>
      </c>
      <c r="P7" s="15" t="s">
        <v>56</v>
      </c>
      <c r="Q7" s="35">
        <v>6.1</v>
      </c>
      <c r="R7" s="15" t="s">
        <v>56</v>
      </c>
      <c r="S7" s="35">
        <v>5.5</v>
      </c>
      <c r="T7" s="15" t="s">
        <v>56</v>
      </c>
      <c r="U7" s="35">
        <v>5.51</v>
      </c>
      <c r="V7" s="15" t="s">
        <v>56</v>
      </c>
      <c r="W7" s="34">
        <v>5.64</v>
      </c>
      <c r="X7" s="15" t="s">
        <v>56</v>
      </c>
      <c r="Y7" s="49">
        <v>6.94</v>
      </c>
      <c r="Z7" s="15" t="s">
        <v>56</v>
      </c>
      <c r="AA7" s="34">
        <v>6.51</v>
      </c>
      <c r="AB7" s="15" t="s">
        <v>56</v>
      </c>
      <c r="AC7" s="61">
        <v>6.41</v>
      </c>
      <c r="AD7" s="60" t="s">
        <v>56</v>
      </c>
      <c r="AE7" s="37">
        <v>6.2</v>
      </c>
      <c r="AF7" s="60" t="s">
        <v>56</v>
      </c>
    </row>
    <row r="8" spans="1:32">
      <c r="A8" s="21">
        <v>4</v>
      </c>
      <c r="B8" s="21">
        <v>5.9</v>
      </c>
      <c r="C8" s="21">
        <v>4.0999999999999996</v>
      </c>
      <c r="E8">
        <v>4.4000000000000004</v>
      </c>
      <c r="G8">
        <v>4.5999999999999996</v>
      </c>
      <c r="H8" s="21" t="s">
        <v>56</v>
      </c>
      <c r="I8" s="33">
        <v>5.6</v>
      </c>
      <c r="J8" s="15" t="s">
        <v>56</v>
      </c>
      <c r="K8" s="34">
        <v>6.2</v>
      </c>
      <c r="L8" s="15" t="s">
        <v>56</v>
      </c>
      <c r="M8" s="35">
        <v>5.9</v>
      </c>
      <c r="N8" s="15" t="s">
        <v>56</v>
      </c>
      <c r="O8" s="35">
        <v>5.0999999999999996</v>
      </c>
      <c r="P8" s="15" t="s">
        <v>56</v>
      </c>
      <c r="Q8" s="35">
        <v>5.6</v>
      </c>
      <c r="R8" s="15" t="s">
        <v>56</v>
      </c>
      <c r="S8" s="35">
        <v>6.1</v>
      </c>
      <c r="T8" s="15" t="s">
        <v>56</v>
      </c>
      <c r="U8" s="35">
        <v>5.83</v>
      </c>
      <c r="V8" s="15" t="s">
        <v>56</v>
      </c>
      <c r="W8" s="34">
        <v>5.95</v>
      </c>
      <c r="X8" s="15" t="s">
        <v>56</v>
      </c>
      <c r="Y8" s="49">
        <v>5.94</v>
      </c>
      <c r="Z8" s="15" t="s">
        <v>56</v>
      </c>
      <c r="AA8" s="34">
        <v>6.37</v>
      </c>
      <c r="AB8" s="15" t="s">
        <v>56</v>
      </c>
      <c r="AC8" s="61">
        <v>6.7</v>
      </c>
      <c r="AD8" s="60" t="s">
        <v>56</v>
      </c>
      <c r="AE8" s="37">
        <v>6.2</v>
      </c>
      <c r="AF8" s="60" t="s">
        <v>56</v>
      </c>
    </row>
    <row r="9" spans="1:32">
      <c r="A9" s="21">
        <v>5</v>
      </c>
      <c r="B9" s="21">
        <v>6</v>
      </c>
      <c r="C9" s="21">
        <v>5.0999999999999996</v>
      </c>
      <c r="E9">
        <v>4.5999999999999996</v>
      </c>
      <c r="G9">
        <v>5.0999999999999996</v>
      </c>
      <c r="H9" s="21" t="s">
        <v>56</v>
      </c>
      <c r="I9" s="33">
        <v>4.9000000000000004</v>
      </c>
      <c r="J9" s="15" t="s">
        <v>56</v>
      </c>
      <c r="K9" s="34">
        <v>5.4</v>
      </c>
      <c r="L9" s="15" t="s">
        <v>56</v>
      </c>
      <c r="M9" s="35">
        <v>5.5</v>
      </c>
      <c r="N9" s="15" t="s">
        <v>56</v>
      </c>
      <c r="O9" s="35">
        <v>5.4</v>
      </c>
      <c r="P9" s="15" t="s">
        <v>56</v>
      </c>
      <c r="Q9" s="35">
        <v>5.6</v>
      </c>
      <c r="R9" s="15" t="s">
        <v>56</v>
      </c>
      <c r="S9" s="35">
        <v>5.8</v>
      </c>
      <c r="T9" s="15" t="s">
        <v>56</v>
      </c>
      <c r="U9" s="35">
        <v>5.74</v>
      </c>
      <c r="V9" s="15" t="s">
        <v>56</v>
      </c>
      <c r="W9" s="34">
        <v>5.78</v>
      </c>
      <c r="X9" s="15" t="s">
        <v>56</v>
      </c>
      <c r="Y9" s="49">
        <v>6.09</v>
      </c>
      <c r="Z9" s="15" t="s">
        <v>56</v>
      </c>
      <c r="AA9" s="34">
        <v>6.43</v>
      </c>
      <c r="AB9" s="15" t="s">
        <v>56</v>
      </c>
      <c r="AC9" s="61">
        <v>6.89</v>
      </c>
      <c r="AD9" s="60" t="s">
        <v>56</v>
      </c>
      <c r="AE9" s="37">
        <v>7.5</v>
      </c>
      <c r="AF9" s="60" t="s">
        <v>56</v>
      </c>
    </row>
    <row r="10" spans="1:32">
      <c r="A10" s="21">
        <v>6</v>
      </c>
      <c r="B10" s="21">
        <v>6.1</v>
      </c>
      <c r="C10" s="21">
        <v>4.2</v>
      </c>
      <c r="E10">
        <v>5.9</v>
      </c>
      <c r="G10">
        <v>4.5999999999999996</v>
      </c>
      <c r="H10" s="21" t="s">
        <v>56</v>
      </c>
      <c r="I10" s="33">
        <v>4.7</v>
      </c>
      <c r="J10" s="15" t="s">
        <v>56</v>
      </c>
      <c r="K10" s="34">
        <v>6.3</v>
      </c>
      <c r="L10" s="15" t="s">
        <v>56</v>
      </c>
      <c r="M10" s="35">
        <v>5.7</v>
      </c>
      <c r="N10" s="15" t="s">
        <v>56</v>
      </c>
      <c r="O10" s="35">
        <v>5.0999999999999996</v>
      </c>
      <c r="P10" s="15" t="s">
        <v>56</v>
      </c>
      <c r="Q10" s="35">
        <v>5.2</v>
      </c>
      <c r="R10" s="15" t="s">
        <v>56</v>
      </c>
      <c r="S10" s="35">
        <v>6.9</v>
      </c>
      <c r="T10" s="15" t="s">
        <v>56</v>
      </c>
      <c r="U10" s="35">
        <v>6.4</v>
      </c>
      <c r="V10" s="15" t="s">
        <v>56</v>
      </c>
      <c r="W10" s="34">
        <v>4.92</v>
      </c>
      <c r="X10" s="15" t="s">
        <v>56</v>
      </c>
      <c r="Y10" s="49">
        <v>5.47</v>
      </c>
      <c r="Z10" s="15" t="s">
        <v>56</v>
      </c>
      <c r="AA10" s="34">
        <v>6.81</v>
      </c>
      <c r="AB10" s="15" t="s">
        <v>56</v>
      </c>
      <c r="AC10" s="61">
        <v>5.95</v>
      </c>
      <c r="AD10" s="60" t="s">
        <v>56</v>
      </c>
      <c r="AE10" s="37">
        <v>6.8</v>
      </c>
      <c r="AF10" s="60" t="s">
        <v>56</v>
      </c>
    </row>
    <row r="11" spans="1:32">
      <c r="A11" s="21">
        <v>7</v>
      </c>
      <c r="B11" s="21">
        <v>5.5</v>
      </c>
      <c r="C11" s="21">
        <v>6.4</v>
      </c>
      <c r="E11">
        <v>4.3</v>
      </c>
      <c r="G11">
        <v>4.3</v>
      </c>
      <c r="H11" s="21" t="s">
        <v>56</v>
      </c>
      <c r="I11" s="33">
        <v>5.3</v>
      </c>
      <c r="J11" s="15" t="s">
        <v>56</v>
      </c>
      <c r="K11" s="34">
        <v>5.7</v>
      </c>
      <c r="L11" s="15" t="s">
        <v>56</v>
      </c>
      <c r="M11" s="35">
        <v>5.8</v>
      </c>
      <c r="N11" s="15" t="s">
        <v>56</v>
      </c>
      <c r="O11" s="35">
        <v>4.9000000000000004</v>
      </c>
      <c r="P11" s="15" t="s">
        <v>56</v>
      </c>
      <c r="Q11" s="35">
        <v>5.0999999999999996</v>
      </c>
      <c r="R11" s="15" t="s">
        <v>56</v>
      </c>
      <c r="S11" s="35">
        <v>5</v>
      </c>
      <c r="T11" s="15" t="s">
        <v>56</v>
      </c>
      <c r="U11" s="35">
        <v>5.77</v>
      </c>
      <c r="V11" s="15" t="s">
        <v>56</v>
      </c>
      <c r="W11" s="34">
        <v>5.63</v>
      </c>
      <c r="X11" s="15" t="s">
        <v>56</v>
      </c>
      <c r="Y11" s="49">
        <v>6.34</v>
      </c>
      <c r="Z11" s="15" t="s">
        <v>56</v>
      </c>
      <c r="AA11" s="34">
        <v>6.17</v>
      </c>
      <c r="AB11" s="15" t="s">
        <v>56</v>
      </c>
      <c r="AC11" s="61">
        <v>6.28</v>
      </c>
      <c r="AD11" s="60" t="s">
        <v>56</v>
      </c>
      <c r="AE11" s="37">
        <v>6.5</v>
      </c>
      <c r="AF11" s="60" t="s">
        <v>56</v>
      </c>
    </row>
    <row r="12" spans="1:32">
      <c r="A12" s="21">
        <v>8</v>
      </c>
      <c r="B12" s="21">
        <v>6.2</v>
      </c>
      <c r="C12" s="21">
        <v>4.7</v>
      </c>
      <c r="E12">
        <v>6</v>
      </c>
      <c r="G12">
        <v>4.5</v>
      </c>
      <c r="H12" s="21" t="s">
        <v>56</v>
      </c>
      <c r="I12" s="33">
        <v>6.2</v>
      </c>
      <c r="J12" s="15" t="s">
        <v>56</v>
      </c>
      <c r="K12" s="34">
        <v>5</v>
      </c>
      <c r="L12" s="15" t="s">
        <v>56</v>
      </c>
      <c r="M12" s="35">
        <v>7.4</v>
      </c>
      <c r="N12" s="15" t="s">
        <v>56</v>
      </c>
      <c r="O12" s="35">
        <v>6.5</v>
      </c>
      <c r="P12" s="15" t="s">
        <v>56</v>
      </c>
      <c r="Q12" s="35">
        <v>6.3</v>
      </c>
      <c r="R12" s="15" t="s">
        <v>56</v>
      </c>
      <c r="S12" s="35">
        <v>5.5</v>
      </c>
      <c r="T12" s="15" t="s">
        <v>56</v>
      </c>
      <c r="U12" s="35">
        <v>5.31</v>
      </c>
      <c r="V12" s="15" t="s">
        <v>56</v>
      </c>
      <c r="W12" s="34">
        <v>4.9000000000000004</v>
      </c>
      <c r="X12" s="15" t="s">
        <v>56</v>
      </c>
      <c r="Y12" s="49">
        <v>5.86</v>
      </c>
      <c r="Z12" s="15" t="s">
        <v>56</v>
      </c>
      <c r="AA12" s="34">
        <v>6.35</v>
      </c>
      <c r="AB12" s="15" t="s">
        <v>56</v>
      </c>
      <c r="AC12" s="61">
        <v>6.22</v>
      </c>
      <c r="AD12" s="60" t="s">
        <v>56</v>
      </c>
      <c r="AE12" s="37">
        <v>6.7</v>
      </c>
      <c r="AF12" s="60" t="s">
        <v>56</v>
      </c>
    </row>
    <row r="13" spans="1:32">
      <c r="A13" s="21">
        <v>9</v>
      </c>
      <c r="B13" s="21">
        <v>6.3</v>
      </c>
      <c r="C13" s="21">
        <v>6.4</v>
      </c>
      <c r="E13">
        <v>5.9</v>
      </c>
      <c r="G13">
        <v>6.6</v>
      </c>
      <c r="H13" s="21" t="s">
        <v>56</v>
      </c>
      <c r="I13" s="33">
        <v>5.8</v>
      </c>
      <c r="J13" s="15" t="s">
        <v>56</v>
      </c>
      <c r="K13" s="34">
        <v>6.1</v>
      </c>
      <c r="L13" s="15" t="s">
        <v>56</v>
      </c>
      <c r="M13" s="35">
        <v>5.2</v>
      </c>
      <c r="N13" s="15" t="s">
        <v>56</v>
      </c>
      <c r="O13" s="35">
        <v>5.9</v>
      </c>
      <c r="P13" s="15" t="s">
        <v>56</v>
      </c>
      <c r="Q13" s="35">
        <v>6.2</v>
      </c>
      <c r="R13" s="15" t="s">
        <v>56</v>
      </c>
      <c r="S13" s="35">
        <v>6.6</v>
      </c>
      <c r="T13" s="15" t="s">
        <v>56</v>
      </c>
      <c r="U13" s="35">
        <v>5.78</v>
      </c>
      <c r="V13" s="15" t="s">
        <v>56</v>
      </c>
      <c r="W13" s="34">
        <v>6.15</v>
      </c>
      <c r="X13" s="15" t="s">
        <v>56</v>
      </c>
      <c r="Y13" s="49">
        <v>6.5</v>
      </c>
      <c r="Z13" s="15" t="s">
        <v>56</v>
      </c>
      <c r="AA13" s="34">
        <v>6.15</v>
      </c>
      <c r="AB13" s="15" t="s">
        <v>56</v>
      </c>
      <c r="AC13" s="61">
        <v>6.26</v>
      </c>
      <c r="AD13" s="60" t="s">
        <v>56</v>
      </c>
      <c r="AE13" s="37">
        <v>7.1</v>
      </c>
      <c r="AF13" s="60" t="s">
        <v>56</v>
      </c>
    </row>
    <row r="14" spans="1:32">
      <c r="A14" s="21">
        <v>10</v>
      </c>
      <c r="B14" s="21">
        <v>6.1</v>
      </c>
      <c r="C14" s="21">
        <v>6.6</v>
      </c>
      <c r="E14">
        <v>4.5</v>
      </c>
      <c r="G14">
        <v>4.4000000000000004</v>
      </c>
      <c r="H14" s="21" t="s">
        <v>56</v>
      </c>
      <c r="I14" s="33">
        <v>5</v>
      </c>
      <c r="J14" s="15" t="s">
        <v>56</v>
      </c>
      <c r="K14" s="34">
        <v>5.3</v>
      </c>
      <c r="L14" s="15" t="s">
        <v>56</v>
      </c>
      <c r="M14" s="35">
        <v>6.9</v>
      </c>
      <c r="N14" s="15" t="s">
        <v>56</v>
      </c>
      <c r="O14" s="35">
        <v>6.4</v>
      </c>
      <c r="P14" s="15" t="s">
        <v>56</v>
      </c>
      <c r="Q14" s="35">
        <v>6.6</v>
      </c>
      <c r="R14" s="15" t="s">
        <v>56</v>
      </c>
      <c r="S14" s="35">
        <v>5.5</v>
      </c>
      <c r="T14" s="15" t="s">
        <v>56</v>
      </c>
      <c r="U14" s="35">
        <v>5.35</v>
      </c>
      <c r="V14" s="15" t="s">
        <v>56</v>
      </c>
      <c r="W14" s="34">
        <v>5.59</v>
      </c>
      <c r="X14" s="15" t="s">
        <v>56</v>
      </c>
      <c r="Y14" s="49">
        <v>5.91</v>
      </c>
      <c r="Z14" s="15" t="s">
        <v>56</v>
      </c>
      <c r="AA14" s="34">
        <v>6.77</v>
      </c>
      <c r="AB14" s="15" t="s">
        <v>56</v>
      </c>
      <c r="AC14" s="61">
        <v>6.26</v>
      </c>
      <c r="AD14" s="60" t="s">
        <v>56</v>
      </c>
      <c r="AE14" s="37">
        <v>6.5</v>
      </c>
      <c r="AF14" s="60" t="s">
        <v>56</v>
      </c>
    </row>
    <row r="15" spans="1:32">
      <c r="A15" s="21">
        <v>11</v>
      </c>
      <c r="B15" s="21">
        <v>6.2</v>
      </c>
      <c r="C15" s="21">
        <v>4.5</v>
      </c>
      <c r="E15">
        <v>4.5</v>
      </c>
      <c r="G15">
        <v>4.2</v>
      </c>
      <c r="H15" s="21" t="s">
        <v>56</v>
      </c>
      <c r="I15" s="33">
        <v>6.1</v>
      </c>
      <c r="J15" s="15" t="s">
        <v>56</v>
      </c>
      <c r="K15" s="34">
        <v>4.7</v>
      </c>
      <c r="L15" s="15" t="s">
        <v>56</v>
      </c>
      <c r="M15" s="35">
        <v>7.2</v>
      </c>
      <c r="N15" s="15" t="s">
        <v>56</v>
      </c>
      <c r="O15" s="35">
        <v>6.2</v>
      </c>
      <c r="P15" s="15" t="s">
        <v>56</v>
      </c>
      <c r="Q15" s="35">
        <v>7.4</v>
      </c>
      <c r="R15" s="15" t="s">
        <v>56</v>
      </c>
      <c r="S15" s="35">
        <v>5.6</v>
      </c>
      <c r="T15" s="15" t="s">
        <v>56</v>
      </c>
      <c r="U15" s="35">
        <v>5.4</v>
      </c>
      <c r="V15" s="15" t="s">
        <v>56</v>
      </c>
      <c r="W15" s="34">
        <v>5.37</v>
      </c>
      <c r="X15" s="15" t="s">
        <v>56</v>
      </c>
      <c r="Y15" s="49">
        <v>5.87</v>
      </c>
      <c r="Z15" s="15" t="s">
        <v>56</v>
      </c>
      <c r="AA15" s="34">
        <v>6.08</v>
      </c>
      <c r="AB15" s="15" t="s">
        <v>56</v>
      </c>
      <c r="AC15" s="61">
        <v>6.13</v>
      </c>
      <c r="AD15" s="60" t="s">
        <v>56</v>
      </c>
      <c r="AE15" s="37">
        <v>6.4</v>
      </c>
      <c r="AF15" s="60" t="s">
        <v>56</v>
      </c>
    </row>
    <row r="16" spans="1:32">
      <c r="A16" s="21">
        <v>12</v>
      </c>
      <c r="B16" s="21">
        <v>6.1</v>
      </c>
      <c r="C16" s="21">
        <v>5.4</v>
      </c>
      <c r="E16">
        <v>5.6</v>
      </c>
      <c r="G16">
        <v>5</v>
      </c>
      <c r="H16" s="21" t="s">
        <v>56</v>
      </c>
      <c r="I16" s="33">
        <v>5.6</v>
      </c>
      <c r="J16" s="15" t="s">
        <v>56</v>
      </c>
      <c r="K16" s="34">
        <v>6.2</v>
      </c>
      <c r="L16" s="15" t="s">
        <v>56</v>
      </c>
      <c r="M16" s="35">
        <v>5.6</v>
      </c>
      <c r="N16" s="15" t="s">
        <v>56</v>
      </c>
      <c r="O16" s="35">
        <v>5.7</v>
      </c>
      <c r="P16" s="15" t="s">
        <v>56</v>
      </c>
      <c r="Q16" s="35">
        <v>5.3</v>
      </c>
      <c r="R16" s="15" t="s">
        <v>56</v>
      </c>
      <c r="S16" s="35">
        <v>6.4</v>
      </c>
      <c r="T16" s="15" t="s">
        <v>56</v>
      </c>
      <c r="U16" s="35">
        <v>5.55</v>
      </c>
      <c r="V16" s="15" t="s">
        <v>56</v>
      </c>
      <c r="W16" s="34">
        <v>5.55</v>
      </c>
      <c r="X16" s="15" t="s">
        <v>56</v>
      </c>
      <c r="Y16" s="49">
        <v>6.49</v>
      </c>
      <c r="Z16" s="15" t="s">
        <v>56</v>
      </c>
      <c r="AA16" s="34">
        <v>6.61</v>
      </c>
      <c r="AB16" s="15" t="s">
        <v>56</v>
      </c>
      <c r="AC16" s="61">
        <v>6.23</v>
      </c>
      <c r="AD16" s="60" t="s">
        <v>56</v>
      </c>
      <c r="AE16" s="37">
        <v>7.4</v>
      </c>
      <c r="AF16" s="60" t="s">
        <v>56</v>
      </c>
    </row>
    <row r="17" spans="1:32">
      <c r="A17" s="21">
        <v>13</v>
      </c>
      <c r="B17" s="21">
        <v>5.8</v>
      </c>
      <c r="C17" s="21">
        <v>5.6</v>
      </c>
      <c r="E17">
        <v>4.0999999999999996</v>
      </c>
      <c r="G17">
        <v>4.7</v>
      </c>
      <c r="H17" s="21" t="s">
        <v>56</v>
      </c>
      <c r="I17" s="33">
        <v>5.6</v>
      </c>
      <c r="J17" s="15" t="s">
        <v>56</v>
      </c>
      <c r="K17" s="34">
        <v>4.7</v>
      </c>
      <c r="L17" s="15" t="s">
        <v>56</v>
      </c>
      <c r="M17" s="35">
        <v>5.9</v>
      </c>
      <c r="N17" s="15" t="s">
        <v>56</v>
      </c>
      <c r="O17" s="35">
        <v>6.3</v>
      </c>
      <c r="P17" s="15" t="s">
        <v>56</v>
      </c>
      <c r="Q17" s="35">
        <v>6.4</v>
      </c>
      <c r="R17" s="15" t="s">
        <v>56</v>
      </c>
      <c r="S17" s="35">
        <v>5.2</v>
      </c>
      <c r="T17" s="15" t="s">
        <v>56</v>
      </c>
      <c r="U17" s="35">
        <v>5.21</v>
      </c>
      <c r="V17" s="15" t="s">
        <v>56</v>
      </c>
      <c r="W17" s="34">
        <v>5.1100000000000003</v>
      </c>
      <c r="X17" s="15" t="s">
        <v>56</v>
      </c>
      <c r="Y17" s="49">
        <v>5.99</v>
      </c>
      <c r="Z17" s="15" t="s">
        <v>56</v>
      </c>
      <c r="AA17" s="34">
        <v>5.94</v>
      </c>
      <c r="AB17" s="15" t="s">
        <v>56</v>
      </c>
      <c r="AC17" s="61">
        <v>5.91</v>
      </c>
      <c r="AD17" s="60" t="s">
        <v>56</v>
      </c>
      <c r="AE17" s="37">
        <v>5.9</v>
      </c>
      <c r="AF17" s="60" t="s">
        <v>56</v>
      </c>
    </row>
    <row r="18" spans="1:32">
      <c r="A18" s="21">
        <v>14</v>
      </c>
      <c r="B18" s="21">
        <v>6.2</v>
      </c>
      <c r="C18" s="21">
        <v>4.5</v>
      </c>
      <c r="E18">
        <v>5</v>
      </c>
      <c r="G18">
        <v>4.7</v>
      </c>
      <c r="H18" s="21" t="s">
        <v>56</v>
      </c>
      <c r="I18" s="33">
        <v>5.4</v>
      </c>
      <c r="J18" s="15" t="s">
        <v>56</v>
      </c>
      <c r="K18" s="34">
        <v>6.6</v>
      </c>
      <c r="L18" s="15" t="s">
        <v>56</v>
      </c>
      <c r="M18" s="35">
        <v>6.3</v>
      </c>
      <c r="N18" s="15" t="s">
        <v>56</v>
      </c>
      <c r="O18" s="35">
        <v>5.7</v>
      </c>
      <c r="P18" s="15" t="s">
        <v>56</v>
      </c>
      <c r="Q18" s="35">
        <v>5.0999999999999996</v>
      </c>
      <c r="R18" s="15" t="s">
        <v>56</v>
      </c>
      <c r="S18" s="35">
        <v>5.7</v>
      </c>
      <c r="T18" s="15" t="s">
        <v>56</v>
      </c>
      <c r="U18" s="35">
        <v>6.19</v>
      </c>
      <c r="V18" s="15" t="s">
        <v>56</v>
      </c>
      <c r="W18" s="34">
        <v>5.48</v>
      </c>
      <c r="X18" s="15" t="s">
        <v>56</v>
      </c>
      <c r="Y18" s="49">
        <v>5.81</v>
      </c>
      <c r="Z18" s="15" t="s">
        <v>56</v>
      </c>
      <c r="AA18" s="34">
        <v>6.71</v>
      </c>
      <c r="AB18" s="15" t="s">
        <v>56</v>
      </c>
      <c r="AC18" s="61">
        <v>6.91</v>
      </c>
      <c r="AD18" s="60" t="s">
        <v>56</v>
      </c>
      <c r="AE18" s="37">
        <v>6</v>
      </c>
      <c r="AF18" s="60" t="s">
        <v>56</v>
      </c>
    </row>
    <row r="19" spans="1:32">
      <c r="A19" s="21">
        <v>15</v>
      </c>
      <c r="B19" s="21">
        <v>6.2</v>
      </c>
      <c r="C19" s="21">
        <v>5.0999999999999996</v>
      </c>
      <c r="E19">
        <v>4.3</v>
      </c>
      <c r="G19">
        <v>4.7</v>
      </c>
      <c r="H19" s="21" t="s">
        <v>56</v>
      </c>
      <c r="I19" s="33">
        <v>5.2</v>
      </c>
      <c r="J19" s="15" t="s">
        <v>56</v>
      </c>
      <c r="K19" s="34">
        <v>5.8</v>
      </c>
      <c r="L19" s="15" t="s">
        <v>56</v>
      </c>
      <c r="M19" s="35">
        <v>5.7</v>
      </c>
      <c r="N19" s="15" t="s">
        <v>56</v>
      </c>
      <c r="O19" s="35">
        <v>5</v>
      </c>
      <c r="P19" s="15" t="s">
        <v>56</v>
      </c>
      <c r="Q19" s="35">
        <v>5.4</v>
      </c>
      <c r="R19" s="15" t="s">
        <v>56</v>
      </c>
      <c r="S19" s="35">
        <v>5.2</v>
      </c>
      <c r="T19" s="15" t="s">
        <v>56</v>
      </c>
      <c r="U19" s="35">
        <v>6.4</v>
      </c>
      <c r="V19" s="15" t="s">
        <v>56</v>
      </c>
      <c r="W19" s="34">
        <v>6.21</v>
      </c>
      <c r="X19" s="15" t="s">
        <v>56</v>
      </c>
      <c r="Y19" s="49">
        <v>5.65</v>
      </c>
      <c r="Z19" s="15" t="s">
        <v>56</v>
      </c>
      <c r="AA19" s="34">
        <v>6.37</v>
      </c>
      <c r="AB19" s="15" t="s">
        <v>56</v>
      </c>
      <c r="AC19" s="61">
        <v>6.74</v>
      </c>
      <c r="AD19" s="60" t="s">
        <v>56</v>
      </c>
      <c r="AE19" s="37">
        <v>7</v>
      </c>
      <c r="AF19" s="60" t="s">
        <v>56</v>
      </c>
    </row>
    <row r="20" spans="1:32">
      <c r="A20" s="21">
        <v>16</v>
      </c>
      <c r="B20" s="21">
        <v>6.4</v>
      </c>
      <c r="C20" s="21">
        <v>5.4</v>
      </c>
      <c r="E20">
        <v>4.3</v>
      </c>
      <c r="G20">
        <v>4.7</v>
      </c>
      <c r="H20" s="21" t="s">
        <v>56</v>
      </c>
      <c r="I20" s="33">
        <v>6.2</v>
      </c>
      <c r="J20" s="15" t="s">
        <v>56</v>
      </c>
      <c r="K20" s="34">
        <v>5.2</v>
      </c>
      <c r="L20" s="15" t="s">
        <v>56</v>
      </c>
      <c r="M20" s="35">
        <v>5.8</v>
      </c>
      <c r="N20" s="15" t="s">
        <v>56</v>
      </c>
      <c r="O20" s="35">
        <v>5.2</v>
      </c>
      <c r="P20" s="15" t="s">
        <v>56</v>
      </c>
      <c r="Q20" s="35">
        <v>5.6</v>
      </c>
      <c r="R20" s="15" t="s">
        <v>56</v>
      </c>
      <c r="S20" s="35">
        <v>5.3</v>
      </c>
      <c r="T20" s="15" t="s">
        <v>56</v>
      </c>
      <c r="U20" s="35">
        <v>6.37</v>
      </c>
      <c r="V20" s="15" t="s">
        <v>56</v>
      </c>
      <c r="W20" s="34">
        <v>6.28</v>
      </c>
      <c r="X20" s="15" t="s">
        <v>56</v>
      </c>
      <c r="Y20" s="49">
        <v>5.81</v>
      </c>
      <c r="Z20" s="15" t="s">
        <v>56</v>
      </c>
      <c r="AA20" s="34">
        <v>6.51</v>
      </c>
      <c r="AB20" s="15" t="s">
        <v>56</v>
      </c>
      <c r="AC20" s="61">
        <v>6.41</v>
      </c>
      <c r="AD20" s="60" t="s">
        <v>56</v>
      </c>
      <c r="AE20" s="37">
        <v>6.9</v>
      </c>
      <c r="AF20" s="60" t="s">
        <v>56</v>
      </c>
    </row>
    <row r="21" spans="1:32">
      <c r="A21" s="21">
        <v>17</v>
      </c>
      <c r="B21" s="21">
        <v>6.4</v>
      </c>
      <c r="C21" s="21">
        <v>5.6</v>
      </c>
      <c r="E21">
        <v>4.8</v>
      </c>
      <c r="G21">
        <v>4.5999999999999996</v>
      </c>
      <c r="H21" s="21" t="s">
        <v>56</v>
      </c>
      <c r="I21" s="33">
        <v>7.9</v>
      </c>
      <c r="J21" s="15" t="s">
        <v>56</v>
      </c>
      <c r="K21" s="34">
        <v>8</v>
      </c>
      <c r="L21" s="15" t="s">
        <v>56</v>
      </c>
      <c r="M21" s="35">
        <v>7</v>
      </c>
      <c r="N21" s="15" t="s">
        <v>56</v>
      </c>
      <c r="O21" s="35">
        <v>6.2</v>
      </c>
      <c r="P21" s="15" t="s">
        <v>56</v>
      </c>
      <c r="Q21" s="35">
        <v>5.2</v>
      </c>
      <c r="R21" s="15" t="s">
        <v>56</v>
      </c>
      <c r="S21" s="35">
        <v>6.4</v>
      </c>
      <c r="T21" s="15" t="s">
        <v>56</v>
      </c>
      <c r="U21" s="35">
        <v>8.1</v>
      </c>
      <c r="V21" s="15" t="s">
        <v>56</v>
      </c>
      <c r="W21" s="34">
        <v>4.96</v>
      </c>
      <c r="X21" s="15" t="s">
        <v>56</v>
      </c>
      <c r="Y21" s="49">
        <v>6.49</v>
      </c>
      <c r="Z21" s="15" t="s">
        <v>56</v>
      </c>
      <c r="AA21" s="52">
        <v>9.17</v>
      </c>
      <c r="AB21" s="15" t="s">
        <v>58</v>
      </c>
      <c r="AC21" s="61">
        <v>7.81</v>
      </c>
      <c r="AD21" s="60" t="s">
        <v>56</v>
      </c>
      <c r="AE21" s="37">
        <v>9.3000000000000007</v>
      </c>
      <c r="AF21" s="60" t="s">
        <v>56</v>
      </c>
    </row>
    <row r="22" spans="1:32">
      <c r="A22" s="21">
        <v>18</v>
      </c>
      <c r="B22" s="21">
        <v>6.4</v>
      </c>
      <c r="C22" s="21">
        <v>5.0999999999999996</v>
      </c>
      <c r="E22">
        <v>4.5999999999999996</v>
      </c>
      <c r="G22">
        <v>4.8</v>
      </c>
      <c r="H22" s="21" t="s">
        <v>56</v>
      </c>
      <c r="I22" s="62">
        <v>6.2</v>
      </c>
      <c r="J22" s="15" t="s">
        <v>56</v>
      </c>
      <c r="K22" s="34">
        <v>4.7</v>
      </c>
      <c r="L22" s="15" t="s">
        <v>56</v>
      </c>
      <c r="M22" s="35">
        <v>5</v>
      </c>
      <c r="N22" s="15" t="s">
        <v>56</v>
      </c>
      <c r="O22" s="35">
        <v>5.8</v>
      </c>
      <c r="P22" s="15" t="s">
        <v>56</v>
      </c>
      <c r="Q22" s="35">
        <v>5</v>
      </c>
      <c r="R22" s="15" t="s">
        <v>56</v>
      </c>
      <c r="S22" s="35">
        <v>5.3</v>
      </c>
      <c r="T22" s="15" t="s">
        <v>56</v>
      </c>
      <c r="U22" s="35">
        <v>5.32</v>
      </c>
      <c r="V22" s="15" t="s">
        <v>56</v>
      </c>
      <c r="W22" s="34">
        <v>5.27</v>
      </c>
      <c r="X22" s="15" t="s">
        <v>56</v>
      </c>
      <c r="Y22" s="49">
        <v>5.48</v>
      </c>
      <c r="Z22" s="15" t="s">
        <v>56</v>
      </c>
      <c r="AA22" s="34">
        <v>5.63</v>
      </c>
      <c r="AB22" s="15" t="s">
        <v>56</v>
      </c>
      <c r="AC22" s="61">
        <v>5.69</v>
      </c>
      <c r="AD22" s="60" t="s">
        <v>56</v>
      </c>
      <c r="AE22" s="37">
        <v>6.3</v>
      </c>
      <c r="AF22" s="60" t="s">
        <v>56</v>
      </c>
    </row>
    <row r="23" spans="1:32">
      <c r="A23" s="21">
        <v>19</v>
      </c>
      <c r="B23" s="21">
        <v>6.2</v>
      </c>
      <c r="C23" s="21">
        <v>6.2</v>
      </c>
      <c r="E23">
        <v>6.2</v>
      </c>
      <c r="G23">
        <v>6.5</v>
      </c>
      <c r="H23" s="21" t="s">
        <v>56</v>
      </c>
      <c r="I23" s="33">
        <v>5.5</v>
      </c>
      <c r="J23" s="15" t="s">
        <v>56</v>
      </c>
      <c r="K23" s="34">
        <v>5.9</v>
      </c>
      <c r="L23" s="15" t="s">
        <v>56</v>
      </c>
      <c r="M23" s="35">
        <v>6.6</v>
      </c>
      <c r="N23" s="15" t="s">
        <v>56</v>
      </c>
      <c r="O23" s="35">
        <v>7.1</v>
      </c>
      <c r="P23" s="15" t="s">
        <v>56</v>
      </c>
      <c r="Q23" s="35">
        <v>6.3</v>
      </c>
      <c r="R23" s="15" t="s">
        <v>56</v>
      </c>
      <c r="S23" s="35">
        <v>6.2</v>
      </c>
      <c r="T23" s="15" t="s">
        <v>56</v>
      </c>
      <c r="U23" s="35">
        <v>5.4</v>
      </c>
      <c r="V23" s="15" t="s">
        <v>56</v>
      </c>
      <c r="W23" s="34">
        <v>5.34</v>
      </c>
      <c r="X23" s="15" t="s">
        <v>56</v>
      </c>
      <c r="Y23" s="49">
        <v>6.05</v>
      </c>
      <c r="Z23" s="15" t="s">
        <v>56</v>
      </c>
      <c r="AA23" s="34">
        <v>6.25</v>
      </c>
      <c r="AB23" s="15" t="s">
        <v>56</v>
      </c>
      <c r="AC23" s="61">
        <v>6.71</v>
      </c>
      <c r="AD23" s="60" t="s">
        <v>56</v>
      </c>
      <c r="AE23" s="37">
        <v>6.4</v>
      </c>
      <c r="AF23" s="60" t="s">
        <v>56</v>
      </c>
    </row>
    <row r="24" spans="1:32" ht="15.75" customHeight="1">
      <c r="A24" s="21">
        <v>20</v>
      </c>
      <c r="B24" s="21">
        <v>6.8</v>
      </c>
      <c r="C24" s="21">
        <v>4.7</v>
      </c>
      <c r="E24">
        <v>4.4000000000000004</v>
      </c>
      <c r="G24">
        <v>5.5</v>
      </c>
      <c r="H24" s="21" t="s">
        <v>56</v>
      </c>
      <c r="I24" s="33">
        <v>5.8</v>
      </c>
      <c r="J24" s="15" t="s">
        <v>56</v>
      </c>
      <c r="K24" s="34">
        <v>4.7</v>
      </c>
      <c r="L24" s="15" t="s">
        <v>56</v>
      </c>
      <c r="M24" s="35">
        <v>5.4</v>
      </c>
      <c r="N24" s="15" t="s">
        <v>56</v>
      </c>
      <c r="O24" s="35">
        <v>5.4</v>
      </c>
      <c r="P24" s="15" t="s">
        <v>56</v>
      </c>
      <c r="Q24" s="35">
        <v>4.8</v>
      </c>
      <c r="R24" s="15" t="s">
        <v>56</v>
      </c>
      <c r="S24" s="35">
        <v>5.2</v>
      </c>
      <c r="T24" s="15" t="s">
        <v>56</v>
      </c>
      <c r="U24" s="35">
        <v>5.46</v>
      </c>
      <c r="V24" s="15" t="s">
        <v>56</v>
      </c>
      <c r="W24" s="34">
        <v>5.21</v>
      </c>
      <c r="X24" s="15" t="s">
        <v>56</v>
      </c>
      <c r="Y24" s="49">
        <v>5.79</v>
      </c>
      <c r="Z24" s="15" t="s">
        <v>56</v>
      </c>
      <c r="AA24" s="34">
        <v>5.91</v>
      </c>
      <c r="AB24" s="15" t="s">
        <v>56</v>
      </c>
      <c r="AC24" s="61">
        <v>5.96</v>
      </c>
      <c r="AD24" s="60" t="s">
        <v>56</v>
      </c>
      <c r="AE24" s="37">
        <v>6.7</v>
      </c>
      <c r="AF24" s="60" t="s">
        <v>56</v>
      </c>
    </row>
    <row r="25" spans="1:32" ht="15.75" customHeight="1">
      <c r="A25" s="21">
        <v>21</v>
      </c>
      <c r="B25" s="21">
        <v>6.1</v>
      </c>
      <c r="C25" s="21">
        <v>4.7</v>
      </c>
      <c r="E25">
        <v>4.9000000000000004</v>
      </c>
      <c r="G25">
        <v>5</v>
      </c>
      <c r="H25" s="21" t="s">
        <v>56</v>
      </c>
      <c r="I25" s="33">
        <v>5.3</v>
      </c>
      <c r="J25" s="15" t="s">
        <v>56</v>
      </c>
      <c r="K25" s="34">
        <v>5.6</v>
      </c>
      <c r="L25" s="15" t="s">
        <v>56</v>
      </c>
      <c r="M25" s="35">
        <v>6</v>
      </c>
      <c r="N25" s="15" t="s">
        <v>56</v>
      </c>
      <c r="O25" s="35">
        <v>6</v>
      </c>
      <c r="P25" s="15" t="s">
        <v>56</v>
      </c>
      <c r="Q25" s="35">
        <v>5.4</v>
      </c>
      <c r="R25" s="15" t="s">
        <v>56</v>
      </c>
      <c r="S25" s="35">
        <v>6.2</v>
      </c>
      <c r="T25" s="15" t="s">
        <v>56</v>
      </c>
      <c r="U25" s="35">
        <v>6.25</v>
      </c>
      <c r="V25" s="15" t="s">
        <v>56</v>
      </c>
      <c r="W25" s="34">
        <v>5.5</v>
      </c>
      <c r="X25" s="15" t="s">
        <v>56</v>
      </c>
      <c r="Y25" s="49">
        <v>6.85</v>
      </c>
      <c r="Z25" s="15" t="s">
        <v>56</v>
      </c>
      <c r="AA25" s="34">
        <v>6.96</v>
      </c>
      <c r="AB25" s="15" t="s">
        <v>56</v>
      </c>
      <c r="AC25" s="61">
        <v>6.51</v>
      </c>
      <c r="AD25" s="60" t="s">
        <v>56</v>
      </c>
      <c r="AE25" s="37">
        <v>7.5</v>
      </c>
      <c r="AF25" s="60" t="s">
        <v>56</v>
      </c>
    </row>
    <row r="26" spans="1:32" ht="15.75" customHeight="1">
      <c r="A26" s="21">
        <v>22</v>
      </c>
      <c r="B26" s="21">
        <v>7</v>
      </c>
      <c r="C26" s="44"/>
      <c r="D26" s="21" t="s">
        <v>143</v>
      </c>
      <c r="E26" s="44"/>
      <c r="F26" t="s">
        <v>143</v>
      </c>
      <c r="G26">
        <v>5.2</v>
      </c>
      <c r="H26" s="21" t="s">
        <v>56</v>
      </c>
      <c r="I26" s="33">
        <v>5.5</v>
      </c>
      <c r="J26" s="15" t="s">
        <v>56</v>
      </c>
      <c r="K26" s="34">
        <v>5.6</v>
      </c>
      <c r="L26" s="15" t="s">
        <v>56</v>
      </c>
      <c r="M26" s="35">
        <v>5.7</v>
      </c>
      <c r="N26" s="15" t="s">
        <v>56</v>
      </c>
      <c r="O26" s="35">
        <v>5.0999999999999996</v>
      </c>
      <c r="P26" s="15" t="s">
        <v>56</v>
      </c>
      <c r="Q26" s="35">
        <v>5.3</v>
      </c>
      <c r="R26" s="15" t="s">
        <v>56</v>
      </c>
      <c r="S26" s="35">
        <v>5.9</v>
      </c>
      <c r="T26" s="15" t="s">
        <v>56</v>
      </c>
      <c r="U26" s="35">
        <v>3.9</v>
      </c>
      <c r="V26" s="15" t="s">
        <v>56</v>
      </c>
      <c r="W26" s="34">
        <v>5.46</v>
      </c>
      <c r="X26" s="15" t="s">
        <v>56</v>
      </c>
      <c r="Y26" s="49">
        <v>4.88</v>
      </c>
      <c r="Z26" s="15" t="s">
        <v>56</v>
      </c>
      <c r="AA26" s="34">
        <v>5.04</v>
      </c>
      <c r="AB26" s="15" t="s">
        <v>56</v>
      </c>
      <c r="AC26" s="61">
        <v>5.23</v>
      </c>
      <c r="AD26" s="60" t="s">
        <v>56</v>
      </c>
      <c r="AE26" s="37">
        <v>6.1</v>
      </c>
      <c r="AF26" s="60" t="s">
        <v>56</v>
      </c>
    </row>
    <row r="27" spans="1:32" ht="15.75" customHeight="1">
      <c r="A27" s="21">
        <v>23</v>
      </c>
      <c r="B27" s="21">
        <v>6.2</v>
      </c>
      <c r="C27" s="21">
        <v>4.7</v>
      </c>
      <c r="E27">
        <v>5.0999999999999996</v>
      </c>
      <c r="G27">
        <v>5.3</v>
      </c>
      <c r="H27" s="21" t="s">
        <v>56</v>
      </c>
      <c r="I27" s="33">
        <v>8.1</v>
      </c>
      <c r="J27" s="15" t="s">
        <v>56</v>
      </c>
      <c r="K27" s="34">
        <v>5.4</v>
      </c>
      <c r="L27" s="15" t="s">
        <v>56</v>
      </c>
      <c r="M27" s="35">
        <v>6.3</v>
      </c>
      <c r="N27" s="15" t="s">
        <v>56</v>
      </c>
      <c r="O27" s="35">
        <v>5.2</v>
      </c>
      <c r="P27" s="15" t="s">
        <v>56</v>
      </c>
      <c r="Q27" s="35">
        <v>5.3</v>
      </c>
      <c r="R27" s="15" t="s">
        <v>56</v>
      </c>
      <c r="S27" s="35">
        <v>5.3</v>
      </c>
      <c r="T27" s="15" t="s">
        <v>56</v>
      </c>
      <c r="U27" s="35">
        <v>5.25</v>
      </c>
      <c r="V27" s="15" t="s">
        <v>56</v>
      </c>
      <c r="W27" s="34">
        <v>5.91</v>
      </c>
      <c r="X27" s="15" t="s">
        <v>56</v>
      </c>
      <c r="Y27" s="49">
        <v>5.88</v>
      </c>
      <c r="Z27" s="15" t="s">
        <v>56</v>
      </c>
      <c r="AA27" s="34">
        <v>6.64</v>
      </c>
      <c r="AB27" s="15" t="s">
        <v>56</v>
      </c>
      <c r="AC27" s="61">
        <v>6.25</v>
      </c>
      <c r="AD27" s="60" t="s">
        <v>56</v>
      </c>
      <c r="AE27" s="37">
        <v>6.3</v>
      </c>
      <c r="AF27" s="60" t="s">
        <v>56</v>
      </c>
    </row>
    <row r="28" spans="1:32" ht="15.75" customHeight="1">
      <c r="A28" s="21">
        <v>24</v>
      </c>
      <c r="B28" s="21">
        <v>6.1</v>
      </c>
      <c r="C28" s="21">
        <v>5.3</v>
      </c>
      <c r="E28">
        <v>4.4000000000000004</v>
      </c>
      <c r="G28">
        <v>4.5999999999999996</v>
      </c>
      <c r="H28" s="21" t="s">
        <v>56</v>
      </c>
      <c r="I28" s="33">
        <v>5.3</v>
      </c>
      <c r="J28" s="15" t="s">
        <v>56</v>
      </c>
      <c r="K28" s="34">
        <v>5.9</v>
      </c>
      <c r="L28" s="15" t="s">
        <v>56</v>
      </c>
      <c r="M28" s="35">
        <v>6</v>
      </c>
      <c r="N28" s="15" t="s">
        <v>56</v>
      </c>
      <c r="O28" s="35">
        <v>5.2</v>
      </c>
      <c r="P28" s="15" t="s">
        <v>56</v>
      </c>
      <c r="Q28" s="35">
        <v>5.6</v>
      </c>
      <c r="R28" s="15" t="s">
        <v>56</v>
      </c>
      <c r="S28" s="35">
        <v>5.4</v>
      </c>
      <c r="T28" s="15" t="s">
        <v>56</v>
      </c>
      <c r="U28" s="35">
        <v>5.69</v>
      </c>
      <c r="V28" s="15" t="s">
        <v>56</v>
      </c>
      <c r="W28" s="34">
        <v>5.71</v>
      </c>
      <c r="X28" s="15" t="s">
        <v>56</v>
      </c>
      <c r="Y28" s="49">
        <v>5.82</v>
      </c>
      <c r="Z28" s="15" t="s">
        <v>56</v>
      </c>
      <c r="AA28" s="34">
        <v>6.87</v>
      </c>
      <c r="AB28" s="15" t="s">
        <v>56</v>
      </c>
      <c r="AC28" s="61">
        <v>6.8</v>
      </c>
      <c r="AD28" s="60" t="s">
        <v>56</v>
      </c>
      <c r="AE28" s="37">
        <v>6.8</v>
      </c>
      <c r="AF28" s="60" t="s">
        <v>56</v>
      </c>
    </row>
    <row r="29" spans="1:32" ht="15.75" customHeight="1">
      <c r="A29" s="21">
        <v>25</v>
      </c>
      <c r="B29" s="21">
        <v>6.1</v>
      </c>
      <c r="C29" s="21">
        <v>4.5</v>
      </c>
      <c r="E29">
        <v>4.3</v>
      </c>
      <c r="G29">
        <v>4.7</v>
      </c>
      <c r="H29" s="21" t="s">
        <v>56</v>
      </c>
      <c r="I29" s="33">
        <v>5.7</v>
      </c>
      <c r="J29" s="15" t="s">
        <v>56</v>
      </c>
      <c r="K29" s="34">
        <v>5.8</v>
      </c>
      <c r="L29" s="15" t="s">
        <v>56</v>
      </c>
      <c r="M29" s="35">
        <v>5.9</v>
      </c>
      <c r="N29" s="15" t="s">
        <v>56</v>
      </c>
      <c r="O29" s="35">
        <v>5.3</v>
      </c>
      <c r="P29" s="15" t="s">
        <v>56</v>
      </c>
      <c r="Q29" s="35">
        <v>5.5</v>
      </c>
      <c r="R29" s="15" t="s">
        <v>56</v>
      </c>
      <c r="S29" s="35">
        <v>5.5</v>
      </c>
      <c r="T29" s="15" t="s">
        <v>56</v>
      </c>
      <c r="U29" s="35">
        <v>5.98</v>
      </c>
      <c r="V29" s="15" t="s">
        <v>56</v>
      </c>
      <c r="W29" s="34">
        <v>5.0599999999999996</v>
      </c>
      <c r="X29" s="15" t="s">
        <v>56</v>
      </c>
      <c r="Y29" s="49">
        <v>5.96</v>
      </c>
      <c r="Z29" s="15" t="s">
        <v>56</v>
      </c>
      <c r="AA29" s="34">
        <v>6.73</v>
      </c>
      <c r="AB29" s="15" t="s">
        <v>56</v>
      </c>
      <c r="AC29" s="61">
        <v>6.72</v>
      </c>
      <c r="AD29" s="60" t="s">
        <v>56</v>
      </c>
      <c r="AE29" s="37">
        <v>7.2</v>
      </c>
      <c r="AF29" s="60" t="s">
        <v>56</v>
      </c>
    </row>
    <row r="30" spans="1:32" ht="15.75" customHeight="1">
      <c r="A30" s="21">
        <v>26</v>
      </c>
      <c r="B30" s="21">
        <v>5.9</v>
      </c>
      <c r="C30" s="21">
        <v>4.7</v>
      </c>
      <c r="E30">
        <v>4.5999999999999996</v>
      </c>
      <c r="G30">
        <v>4.8</v>
      </c>
      <c r="H30" s="21" t="s">
        <v>56</v>
      </c>
      <c r="I30" s="33">
        <v>5</v>
      </c>
      <c r="J30" s="15" t="s">
        <v>56</v>
      </c>
      <c r="K30" s="34">
        <v>5.4</v>
      </c>
      <c r="L30" s="15" t="s">
        <v>56</v>
      </c>
      <c r="M30" s="35">
        <v>5.5</v>
      </c>
      <c r="N30" s="15" t="s">
        <v>56</v>
      </c>
      <c r="O30" s="35">
        <v>5.0999999999999996</v>
      </c>
      <c r="P30" s="15" t="s">
        <v>56</v>
      </c>
      <c r="Q30" s="35">
        <v>5.8</v>
      </c>
      <c r="R30" s="15" t="s">
        <v>56</v>
      </c>
      <c r="S30" s="35">
        <v>5.0999999999999996</v>
      </c>
      <c r="T30" s="15" t="s">
        <v>56</v>
      </c>
      <c r="U30" s="35">
        <v>6.09</v>
      </c>
      <c r="V30" s="15" t="s">
        <v>56</v>
      </c>
      <c r="W30" s="34">
        <v>5.22</v>
      </c>
      <c r="X30" s="15" t="s">
        <v>56</v>
      </c>
      <c r="Y30" s="49">
        <v>5.93</v>
      </c>
      <c r="Z30" s="15" t="s">
        <v>56</v>
      </c>
      <c r="AA30" s="34">
        <v>6.96</v>
      </c>
      <c r="AB30" s="15" t="s">
        <v>56</v>
      </c>
      <c r="AC30" s="61">
        <v>6.61</v>
      </c>
      <c r="AD30" s="60" t="s">
        <v>56</v>
      </c>
      <c r="AE30" s="37">
        <v>6.9</v>
      </c>
      <c r="AF30" s="60" t="s">
        <v>56</v>
      </c>
    </row>
    <row r="31" spans="1:32" ht="15.75" customHeight="1">
      <c r="A31" s="21">
        <v>27</v>
      </c>
      <c r="B31" s="21">
        <v>6</v>
      </c>
      <c r="C31" s="21">
        <v>4.5999999999999996</v>
      </c>
      <c r="E31">
        <v>4.0999999999999996</v>
      </c>
      <c r="G31">
        <v>4.2</v>
      </c>
      <c r="H31" s="21" t="s">
        <v>56</v>
      </c>
      <c r="I31" s="33">
        <v>5.4</v>
      </c>
      <c r="J31" s="15" t="s">
        <v>56</v>
      </c>
      <c r="K31" s="53">
        <v>20.5</v>
      </c>
      <c r="L31" s="15" t="s">
        <v>60</v>
      </c>
      <c r="M31" s="35">
        <v>5.9</v>
      </c>
      <c r="N31" s="15" t="s">
        <v>56</v>
      </c>
      <c r="O31" s="35">
        <v>5.3</v>
      </c>
      <c r="P31" s="15" t="s">
        <v>56</v>
      </c>
      <c r="Q31" s="35">
        <v>5.0999999999999996</v>
      </c>
      <c r="R31" s="15" t="s">
        <v>56</v>
      </c>
      <c r="S31" s="35">
        <v>5.4</v>
      </c>
      <c r="T31" s="15" t="s">
        <v>56</v>
      </c>
      <c r="U31" s="35">
        <v>5.5</v>
      </c>
      <c r="V31" s="15" t="s">
        <v>56</v>
      </c>
      <c r="W31" s="34">
        <v>5.38</v>
      </c>
      <c r="X31" s="15" t="s">
        <v>56</v>
      </c>
      <c r="Y31" s="49">
        <v>5.81</v>
      </c>
      <c r="Z31" s="15" t="s">
        <v>56</v>
      </c>
      <c r="AA31" s="34">
        <v>6.58</v>
      </c>
      <c r="AB31" s="15" t="s">
        <v>56</v>
      </c>
      <c r="AC31" s="61">
        <v>6.29</v>
      </c>
      <c r="AD31" s="60" t="s">
        <v>56</v>
      </c>
      <c r="AE31" s="37">
        <v>7</v>
      </c>
      <c r="AF31" s="60" t="s">
        <v>56</v>
      </c>
    </row>
    <row r="32" spans="1:32" ht="15.75" customHeight="1">
      <c r="A32" s="21">
        <v>28</v>
      </c>
      <c r="B32" s="21">
        <v>6.1</v>
      </c>
      <c r="C32" s="21">
        <v>4.2</v>
      </c>
      <c r="E32">
        <v>4.4000000000000004</v>
      </c>
      <c r="G32">
        <v>4.7</v>
      </c>
      <c r="H32" s="21" t="s">
        <v>56</v>
      </c>
      <c r="I32" s="33">
        <v>5.2</v>
      </c>
      <c r="J32" s="15" t="s">
        <v>56</v>
      </c>
      <c r="K32" s="34">
        <v>4.9000000000000004</v>
      </c>
      <c r="L32" s="15" t="s">
        <v>56</v>
      </c>
      <c r="M32" s="35">
        <v>5.7</v>
      </c>
      <c r="N32" s="15" t="s">
        <v>56</v>
      </c>
      <c r="O32" s="35">
        <v>5.6</v>
      </c>
      <c r="P32" s="15" t="s">
        <v>56</v>
      </c>
      <c r="Q32" s="35">
        <v>5.5</v>
      </c>
      <c r="R32" s="15" t="s">
        <v>56</v>
      </c>
      <c r="S32" s="35">
        <v>5.2</v>
      </c>
      <c r="T32" s="15" t="s">
        <v>56</v>
      </c>
      <c r="U32" s="35">
        <v>6.19</v>
      </c>
      <c r="V32" s="15" t="s">
        <v>56</v>
      </c>
      <c r="W32" s="34">
        <v>5.39</v>
      </c>
      <c r="X32" s="15" t="s">
        <v>56</v>
      </c>
      <c r="Y32" s="49">
        <v>6.09</v>
      </c>
      <c r="Z32" s="15" t="s">
        <v>56</v>
      </c>
      <c r="AA32" s="34">
        <v>6.15</v>
      </c>
      <c r="AB32" s="15" t="s">
        <v>56</v>
      </c>
      <c r="AC32" s="61">
        <v>6.13</v>
      </c>
      <c r="AD32" s="60" t="s">
        <v>56</v>
      </c>
      <c r="AE32" s="37">
        <v>7.5</v>
      </c>
      <c r="AF32" s="60" t="s">
        <v>56</v>
      </c>
    </row>
    <row r="33" spans="1:32" ht="15.75" customHeight="1">
      <c r="A33" s="21">
        <v>29</v>
      </c>
      <c r="B33" s="21">
        <v>6.3</v>
      </c>
      <c r="C33" s="21">
        <v>4.8</v>
      </c>
      <c r="E33">
        <v>4.2</v>
      </c>
      <c r="G33">
        <v>4.8</v>
      </c>
      <c r="H33" s="21" t="s">
        <v>56</v>
      </c>
      <c r="I33" s="33">
        <v>5.3</v>
      </c>
      <c r="J33" s="15" t="s">
        <v>56</v>
      </c>
      <c r="K33" s="34">
        <v>5.2</v>
      </c>
      <c r="L33" s="15" t="s">
        <v>56</v>
      </c>
      <c r="M33" s="35">
        <v>5.8</v>
      </c>
      <c r="N33" s="15" t="s">
        <v>56</v>
      </c>
      <c r="O33" s="35">
        <v>5.7</v>
      </c>
      <c r="P33" s="15" t="s">
        <v>56</v>
      </c>
      <c r="Q33" s="35">
        <v>5.2</v>
      </c>
      <c r="R33" s="15" t="s">
        <v>56</v>
      </c>
      <c r="S33" s="35">
        <v>5.3</v>
      </c>
      <c r="T33" s="15" t="s">
        <v>56</v>
      </c>
      <c r="U33" s="35">
        <v>5.25</v>
      </c>
      <c r="V33" s="15" t="s">
        <v>56</v>
      </c>
      <c r="W33" s="34">
        <v>6.67</v>
      </c>
      <c r="X33" s="15" t="s">
        <v>56</v>
      </c>
      <c r="Y33" s="49">
        <v>5.75</v>
      </c>
      <c r="Z33" s="15" t="s">
        <v>56</v>
      </c>
      <c r="AA33" s="34">
        <v>5.97</v>
      </c>
      <c r="AB33" s="15" t="s">
        <v>56</v>
      </c>
      <c r="AC33" s="61">
        <v>6.06</v>
      </c>
      <c r="AD33" s="60" t="s">
        <v>56</v>
      </c>
      <c r="AE33" s="37">
        <v>7.5</v>
      </c>
      <c r="AF33" s="60" t="s">
        <v>56</v>
      </c>
    </row>
    <row r="34" spans="1:32" ht="15.75" customHeight="1">
      <c r="A34" s="21">
        <v>30</v>
      </c>
      <c r="B34" s="21">
        <v>5.5</v>
      </c>
      <c r="C34" s="21">
        <v>5</v>
      </c>
      <c r="E34">
        <v>4.7</v>
      </c>
      <c r="G34">
        <v>5.2</v>
      </c>
      <c r="H34" s="21" t="s">
        <v>56</v>
      </c>
      <c r="I34" s="33">
        <v>5.5</v>
      </c>
      <c r="J34" s="15" t="s">
        <v>56</v>
      </c>
      <c r="K34" s="34">
        <v>5.0999999999999996</v>
      </c>
      <c r="L34" s="15" t="s">
        <v>56</v>
      </c>
      <c r="M34" s="35">
        <v>5.9</v>
      </c>
      <c r="N34" s="15" t="s">
        <v>56</v>
      </c>
      <c r="O34" s="35">
        <v>5.9</v>
      </c>
      <c r="P34" s="15" t="s">
        <v>56</v>
      </c>
      <c r="Q34" s="35">
        <v>5.0999999999999996</v>
      </c>
      <c r="R34" s="15" t="s">
        <v>56</v>
      </c>
      <c r="S34" s="35">
        <v>5.5</v>
      </c>
      <c r="T34" s="15" t="s">
        <v>56</v>
      </c>
      <c r="U34" s="35">
        <v>5.3</v>
      </c>
      <c r="V34" s="15" t="s">
        <v>56</v>
      </c>
      <c r="W34" s="34">
        <v>4.97</v>
      </c>
      <c r="X34" s="15" t="s">
        <v>56</v>
      </c>
      <c r="Y34" s="49">
        <v>5.81</v>
      </c>
      <c r="Z34" s="15" t="s">
        <v>56</v>
      </c>
      <c r="AA34" s="34">
        <v>6.56</v>
      </c>
      <c r="AB34" s="15" t="s">
        <v>56</v>
      </c>
      <c r="AC34" s="61">
        <v>6.05</v>
      </c>
      <c r="AD34" s="60" t="s">
        <v>56</v>
      </c>
      <c r="AE34" s="37">
        <v>6.1</v>
      </c>
      <c r="AF34" s="60" t="s">
        <v>56</v>
      </c>
    </row>
    <row r="35" spans="1:32" ht="15.75" customHeight="1">
      <c r="A35" s="23">
        <v>31</v>
      </c>
      <c r="B35" s="23">
        <v>14.2</v>
      </c>
      <c r="C35" s="21">
        <v>4.5999999999999996</v>
      </c>
      <c r="D35" s="39" t="s">
        <v>144</v>
      </c>
      <c r="E35">
        <v>4.5</v>
      </c>
      <c r="G35">
        <v>5.5</v>
      </c>
      <c r="H35" s="21" t="s">
        <v>56</v>
      </c>
      <c r="I35" s="33">
        <v>5.0999999999999996</v>
      </c>
      <c r="J35" s="15" t="s">
        <v>56</v>
      </c>
      <c r="K35" s="34">
        <v>4.7</v>
      </c>
      <c r="L35" s="15" t="s">
        <v>56</v>
      </c>
      <c r="M35" s="35">
        <v>5.5</v>
      </c>
      <c r="N35" s="15" t="s">
        <v>56</v>
      </c>
      <c r="O35" s="35">
        <v>5.8</v>
      </c>
      <c r="P35" s="15" t="s">
        <v>56</v>
      </c>
      <c r="Q35" s="35">
        <v>5.4</v>
      </c>
      <c r="R35" s="15" t="s">
        <v>56</v>
      </c>
      <c r="S35" s="35">
        <v>5.2</v>
      </c>
      <c r="T35" s="15" t="s">
        <v>56</v>
      </c>
      <c r="U35" s="35">
        <v>5.8</v>
      </c>
      <c r="V35" s="15" t="s">
        <v>56</v>
      </c>
      <c r="W35" s="34">
        <v>5.87</v>
      </c>
      <c r="X35" s="15" t="s">
        <v>56</v>
      </c>
      <c r="Y35" s="49">
        <v>6.21</v>
      </c>
      <c r="Z35" s="15" t="s">
        <v>56</v>
      </c>
      <c r="AA35" s="34">
        <v>6.35</v>
      </c>
      <c r="AB35" s="15" t="s">
        <v>56</v>
      </c>
      <c r="AC35" s="61">
        <v>5.9</v>
      </c>
      <c r="AD35" s="60" t="s">
        <v>56</v>
      </c>
      <c r="AE35" s="37">
        <v>6.4</v>
      </c>
      <c r="AF35" s="60" t="s">
        <v>56</v>
      </c>
    </row>
    <row r="36" spans="1:32" ht="15.75" customHeight="1">
      <c r="A36" s="21">
        <v>32</v>
      </c>
      <c r="B36" s="21">
        <v>6</v>
      </c>
      <c r="C36" s="32">
        <v>5</v>
      </c>
      <c r="E36">
        <v>4.3</v>
      </c>
      <c r="G36">
        <v>4.7</v>
      </c>
      <c r="H36" s="21" t="s">
        <v>56</v>
      </c>
      <c r="I36" s="33">
        <v>5.6</v>
      </c>
      <c r="J36" s="15" t="s">
        <v>56</v>
      </c>
      <c r="K36" s="53">
        <v>29.1</v>
      </c>
      <c r="L36" s="15" t="s">
        <v>60</v>
      </c>
      <c r="M36" s="35">
        <v>5.5</v>
      </c>
      <c r="N36" s="15" t="s">
        <v>56</v>
      </c>
      <c r="O36" s="35">
        <v>6.4</v>
      </c>
      <c r="P36" s="15" t="s">
        <v>56</v>
      </c>
      <c r="Q36" s="35">
        <v>5.3</v>
      </c>
      <c r="R36" s="15" t="s">
        <v>56</v>
      </c>
      <c r="S36" s="35">
        <v>5.5</v>
      </c>
      <c r="T36" s="15" t="s">
        <v>56</v>
      </c>
      <c r="U36" s="35">
        <v>5.38</v>
      </c>
      <c r="V36" s="15" t="s">
        <v>56</v>
      </c>
      <c r="W36" s="34">
        <v>5.23</v>
      </c>
      <c r="X36" s="15" t="s">
        <v>56</v>
      </c>
      <c r="Y36" s="49">
        <v>6.23</v>
      </c>
      <c r="Z36" s="15" t="s">
        <v>56</v>
      </c>
      <c r="AA36" s="34">
        <v>6.88</v>
      </c>
      <c r="AB36" s="15" t="s">
        <v>56</v>
      </c>
      <c r="AC36" s="61">
        <v>6.41</v>
      </c>
      <c r="AD36" s="60" t="s">
        <v>56</v>
      </c>
      <c r="AE36" s="37">
        <v>7.3</v>
      </c>
      <c r="AF36" s="60" t="s">
        <v>56</v>
      </c>
    </row>
    <row r="37" spans="1:32" ht="15.75" customHeight="1">
      <c r="A37" s="21">
        <v>33</v>
      </c>
      <c r="B37" s="21">
        <v>6.3</v>
      </c>
      <c r="C37" s="21">
        <v>4.3</v>
      </c>
      <c r="E37">
        <v>4.3</v>
      </c>
      <c r="G37">
        <v>4.7</v>
      </c>
      <c r="H37" s="21" t="s">
        <v>56</v>
      </c>
      <c r="I37" s="33">
        <v>5.9</v>
      </c>
      <c r="J37" s="15" t="s">
        <v>56</v>
      </c>
      <c r="K37" s="34">
        <v>5.7</v>
      </c>
      <c r="L37" s="15" t="s">
        <v>56</v>
      </c>
      <c r="M37" s="35">
        <v>6.1</v>
      </c>
      <c r="N37" s="15" t="s">
        <v>56</v>
      </c>
      <c r="O37" s="35">
        <v>5.4</v>
      </c>
      <c r="P37" s="15" t="s">
        <v>56</v>
      </c>
      <c r="Q37" s="35">
        <v>6.1</v>
      </c>
      <c r="R37" s="15" t="s">
        <v>56</v>
      </c>
      <c r="S37" s="35">
        <v>5.7</v>
      </c>
      <c r="T37" s="15" t="s">
        <v>56</v>
      </c>
      <c r="U37" s="35">
        <v>6.32</v>
      </c>
      <c r="V37" s="15" t="s">
        <v>56</v>
      </c>
      <c r="W37" s="34">
        <v>5.56</v>
      </c>
      <c r="X37" s="15" t="s">
        <v>56</v>
      </c>
      <c r="Y37" s="49">
        <v>5.93</v>
      </c>
      <c r="Z37" s="15" t="s">
        <v>56</v>
      </c>
      <c r="AA37" s="34">
        <v>6.97</v>
      </c>
      <c r="AB37" s="15" t="s">
        <v>56</v>
      </c>
      <c r="AC37" s="61">
        <v>6.2</v>
      </c>
      <c r="AD37" s="60" t="s">
        <v>56</v>
      </c>
      <c r="AE37" s="37">
        <v>7</v>
      </c>
      <c r="AF37" s="60" t="s">
        <v>56</v>
      </c>
    </row>
    <row r="38" spans="1:32" ht="15.75" customHeight="1">
      <c r="A38" s="21">
        <v>34</v>
      </c>
      <c r="B38" s="21">
        <v>6.1</v>
      </c>
      <c r="C38" s="21">
        <v>4.5999999999999996</v>
      </c>
      <c r="E38">
        <v>4.3</v>
      </c>
      <c r="G38">
        <v>4.7</v>
      </c>
      <c r="H38" s="21" t="s">
        <v>56</v>
      </c>
      <c r="I38" s="33">
        <v>5.2</v>
      </c>
      <c r="J38" s="15" t="s">
        <v>56</v>
      </c>
      <c r="K38" s="34">
        <v>5.6</v>
      </c>
      <c r="L38" s="15" t="s">
        <v>56</v>
      </c>
      <c r="M38" s="35">
        <v>6</v>
      </c>
      <c r="N38" s="15" t="s">
        <v>56</v>
      </c>
      <c r="O38" s="35">
        <v>5.2</v>
      </c>
      <c r="P38" s="15" t="s">
        <v>56</v>
      </c>
      <c r="Q38" s="35">
        <v>5.6</v>
      </c>
      <c r="R38" s="15" t="s">
        <v>56</v>
      </c>
      <c r="S38" s="35">
        <v>5.3</v>
      </c>
      <c r="T38" s="15" t="s">
        <v>56</v>
      </c>
      <c r="U38" s="35">
        <v>5.91</v>
      </c>
      <c r="V38" s="15" t="s">
        <v>56</v>
      </c>
      <c r="W38" s="34">
        <v>6.35</v>
      </c>
      <c r="X38" s="15" t="s">
        <v>56</v>
      </c>
      <c r="Y38" s="49">
        <v>6.54</v>
      </c>
      <c r="Z38" s="15" t="s">
        <v>56</v>
      </c>
      <c r="AA38" s="34">
        <v>7.06</v>
      </c>
      <c r="AB38" s="15" t="s">
        <v>56</v>
      </c>
      <c r="AC38" s="61">
        <v>6.91</v>
      </c>
      <c r="AD38" s="60" t="s">
        <v>56</v>
      </c>
      <c r="AE38" s="37">
        <v>8.4</v>
      </c>
      <c r="AF38" s="60" t="s">
        <v>56</v>
      </c>
    </row>
    <row r="39" spans="1:32" ht="15.75" customHeight="1">
      <c r="A39" s="21">
        <v>35</v>
      </c>
      <c r="B39" s="21">
        <v>6.1</v>
      </c>
      <c r="C39" s="21">
        <v>5.3</v>
      </c>
      <c r="E39">
        <v>4.3</v>
      </c>
      <c r="G39">
        <v>4.5</v>
      </c>
      <c r="H39" s="21" t="s">
        <v>56</v>
      </c>
      <c r="I39" s="33">
        <v>5.3</v>
      </c>
      <c r="J39" s="15" t="s">
        <v>56</v>
      </c>
      <c r="K39" s="34">
        <v>6</v>
      </c>
      <c r="L39" s="15" t="s">
        <v>56</v>
      </c>
      <c r="M39" s="35">
        <v>5.7</v>
      </c>
      <c r="N39" s="15" t="s">
        <v>56</v>
      </c>
      <c r="O39" s="35">
        <v>5.3</v>
      </c>
      <c r="P39" s="15" t="s">
        <v>56</v>
      </c>
      <c r="Q39" s="35">
        <v>5.4</v>
      </c>
      <c r="R39" s="15" t="s">
        <v>56</v>
      </c>
      <c r="S39" s="35">
        <v>5.3</v>
      </c>
      <c r="T39" s="15" t="s">
        <v>56</v>
      </c>
      <c r="U39" s="35">
        <v>5.6</v>
      </c>
      <c r="V39" s="15" t="s">
        <v>56</v>
      </c>
      <c r="W39" s="34">
        <v>5.13</v>
      </c>
      <c r="X39" s="15" t="s">
        <v>56</v>
      </c>
      <c r="Y39" s="49">
        <v>5.76</v>
      </c>
      <c r="Z39" s="15" t="s">
        <v>56</v>
      </c>
      <c r="AA39" s="34">
        <v>6.1</v>
      </c>
      <c r="AB39" s="15" t="s">
        <v>56</v>
      </c>
      <c r="AC39" s="61">
        <v>6.43</v>
      </c>
      <c r="AD39" s="60" t="s">
        <v>56</v>
      </c>
      <c r="AE39" s="37">
        <v>6.7</v>
      </c>
      <c r="AF39" s="60" t="s">
        <v>56</v>
      </c>
    </row>
    <row r="40" spans="1:32" ht="15.75" customHeight="1">
      <c r="A40" s="21">
        <v>36</v>
      </c>
      <c r="B40" s="21">
        <v>6.3</v>
      </c>
      <c r="C40" s="21">
        <v>4.3</v>
      </c>
      <c r="E40">
        <v>4.3</v>
      </c>
      <c r="G40">
        <v>4.7</v>
      </c>
      <c r="H40" s="21" t="s">
        <v>56</v>
      </c>
      <c r="I40" s="33">
        <v>5.3</v>
      </c>
      <c r="J40" s="15" t="s">
        <v>56</v>
      </c>
      <c r="K40" s="34">
        <v>5.5</v>
      </c>
      <c r="L40" s="15" t="s">
        <v>56</v>
      </c>
      <c r="M40" s="35">
        <v>6</v>
      </c>
      <c r="N40" s="15" t="s">
        <v>56</v>
      </c>
      <c r="O40" s="35">
        <v>5</v>
      </c>
      <c r="P40" s="15" t="s">
        <v>56</v>
      </c>
      <c r="Q40" s="35">
        <v>5.7</v>
      </c>
      <c r="R40" s="15" t="s">
        <v>56</v>
      </c>
      <c r="S40" s="35">
        <v>5.2</v>
      </c>
      <c r="T40" s="15" t="s">
        <v>56</v>
      </c>
      <c r="U40" s="35">
        <v>5.81</v>
      </c>
      <c r="V40" s="15" t="s">
        <v>56</v>
      </c>
      <c r="W40" s="34">
        <v>4.92</v>
      </c>
      <c r="X40" s="15" t="s">
        <v>56</v>
      </c>
      <c r="Y40" s="49">
        <v>5.85</v>
      </c>
      <c r="Z40" s="15" t="s">
        <v>56</v>
      </c>
      <c r="AA40" s="34">
        <v>6.63</v>
      </c>
      <c r="AB40" s="15" t="s">
        <v>56</v>
      </c>
      <c r="AC40" s="61">
        <v>6.08</v>
      </c>
      <c r="AD40" s="60" t="s">
        <v>56</v>
      </c>
      <c r="AE40" s="37">
        <v>6.8</v>
      </c>
      <c r="AF40" s="60" t="s">
        <v>56</v>
      </c>
    </row>
    <row r="41" spans="1:32" ht="15.75" customHeight="1">
      <c r="A41" s="21">
        <v>37</v>
      </c>
      <c r="B41" s="21">
        <v>6.1</v>
      </c>
      <c r="C41" s="21">
        <v>4.7</v>
      </c>
      <c r="E41">
        <v>4.2</v>
      </c>
      <c r="G41">
        <v>4.5</v>
      </c>
      <c r="H41" s="21" t="s">
        <v>56</v>
      </c>
      <c r="I41" s="33">
        <v>5.6</v>
      </c>
      <c r="J41" s="15" t="s">
        <v>56</v>
      </c>
      <c r="K41" s="34">
        <v>5.5</v>
      </c>
      <c r="L41" s="15" t="s">
        <v>56</v>
      </c>
      <c r="M41" s="35">
        <v>5.5</v>
      </c>
      <c r="N41" s="15" t="s">
        <v>56</v>
      </c>
      <c r="O41" s="35">
        <v>5.3</v>
      </c>
      <c r="P41" s="15" t="s">
        <v>56</v>
      </c>
      <c r="Q41" s="35">
        <v>5.0999999999999996</v>
      </c>
      <c r="R41" s="15" t="s">
        <v>56</v>
      </c>
      <c r="S41" s="35">
        <v>5.4</v>
      </c>
      <c r="T41" s="15" t="s">
        <v>56</v>
      </c>
      <c r="U41" s="35">
        <v>5.49</v>
      </c>
      <c r="V41" s="15" t="s">
        <v>56</v>
      </c>
      <c r="W41" s="34">
        <v>6.06</v>
      </c>
      <c r="X41" s="15" t="s">
        <v>56</v>
      </c>
      <c r="Y41" s="49">
        <v>5.62</v>
      </c>
      <c r="Z41" s="15" t="s">
        <v>56</v>
      </c>
      <c r="AA41" s="34">
        <v>6.13</v>
      </c>
      <c r="AB41" s="15" t="s">
        <v>56</v>
      </c>
      <c r="AC41" s="61">
        <v>5.7</v>
      </c>
      <c r="AD41" s="60" t="s">
        <v>56</v>
      </c>
      <c r="AE41" s="37">
        <v>6.4</v>
      </c>
      <c r="AF41" s="60" t="s">
        <v>56</v>
      </c>
    </row>
    <row r="42" spans="1:32" ht="15.75" customHeight="1">
      <c r="A42" s="21">
        <v>38</v>
      </c>
      <c r="B42" s="21">
        <v>6.2</v>
      </c>
      <c r="C42" s="21">
        <v>4.4000000000000004</v>
      </c>
      <c r="E42">
        <v>4.4000000000000004</v>
      </c>
      <c r="G42">
        <v>4.7</v>
      </c>
      <c r="H42" s="21" t="s">
        <v>56</v>
      </c>
      <c r="I42" s="33">
        <v>5.2</v>
      </c>
      <c r="J42" s="15" t="s">
        <v>56</v>
      </c>
      <c r="K42" s="34">
        <v>4.7</v>
      </c>
      <c r="L42" s="15" t="s">
        <v>56</v>
      </c>
      <c r="M42" s="35">
        <v>5.9</v>
      </c>
      <c r="N42" s="15" t="s">
        <v>56</v>
      </c>
      <c r="O42" s="35">
        <v>5.0999999999999996</v>
      </c>
      <c r="P42" s="15" t="s">
        <v>56</v>
      </c>
      <c r="Q42" s="35">
        <v>5.5</v>
      </c>
      <c r="R42" s="15" t="s">
        <v>56</v>
      </c>
      <c r="S42" s="35">
        <v>5.3</v>
      </c>
      <c r="T42" s="15" t="s">
        <v>56</v>
      </c>
      <c r="U42" s="35">
        <v>5.99</v>
      </c>
      <c r="V42" s="15" t="s">
        <v>56</v>
      </c>
      <c r="W42" s="34">
        <v>5.47</v>
      </c>
      <c r="X42" s="15" t="s">
        <v>56</v>
      </c>
      <c r="Y42" s="49">
        <v>5.9</v>
      </c>
      <c r="Z42" s="15" t="s">
        <v>56</v>
      </c>
      <c r="AA42" s="34">
        <v>6.46</v>
      </c>
      <c r="AB42" s="15" t="s">
        <v>56</v>
      </c>
      <c r="AC42" s="61">
        <v>6.07</v>
      </c>
      <c r="AD42" s="60" t="s">
        <v>56</v>
      </c>
      <c r="AE42" s="37">
        <v>6.8</v>
      </c>
      <c r="AF42" s="60" t="s">
        <v>56</v>
      </c>
    </row>
    <row r="43" spans="1:32" ht="15.75" customHeight="1">
      <c r="A43" s="21">
        <v>39</v>
      </c>
      <c r="B43" s="21">
        <v>5.9</v>
      </c>
      <c r="C43" s="21">
        <v>4.8</v>
      </c>
      <c r="E43">
        <v>4.7</v>
      </c>
      <c r="G43">
        <v>5</v>
      </c>
      <c r="H43" s="21" t="s">
        <v>56</v>
      </c>
      <c r="I43" s="33">
        <v>5.3</v>
      </c>
      <c r="J43" s="15" t="s">
        <v>56</v>
      </c>
      <c r="K43" s="34">
        <v>5</v>
      </c>
      <c r="L43" s="15" t="s">
        <v>56</v>
      </c>
      <c r="M43" s="35">
        <v>5.7</v>
      </c>
      <c r="N43" s="15" t="s">
        <v>56</v>
      </c>
      <c r="O43" s="35">
        <v>5.2</v>
      </c>
      <c r="P43" s="15" t="s">
        <v>56</v>
      </c>
      <c r="Q43" s="35">
        <v>5.3</v>
      </c>
      <c r="R43" s="15" t="s">
        <v>56</v>
      </c>
      <c r="S43" s="35">
        <v>5.3</v>
      </c>
      <c r="T43" s="15" t="s">
        <v>56</v>
      </c>
      <c r="U43" s="35">
        <v>5.34</v>
      </c>
      <c r="V43" s="15" t="s">
        <v>56</v>
      </c>
      <c r="W43" s="34">
        <v>5.88</v>
      </c>
      <c r="X43" s="15" t="s">
        <v>56</v>
      </c>
      <c r="Y43" s="49">
        <v>6.52</v>
      </c>
      <c r="Z43" s="15" t="s">
        <v>56</v>
      </c>
      <c r="AA43" s="34">
        <v>6.18</v>
      </c>
      <c r="AB43" s="15" t="s">
        <v>56</v>
      </c>
      <c r="AC43" s="61">
        <v>6.25</v>
      </c>
      <c r="AD43" s="60" t="s">
        <v>56</v>
      </c>
      <c r="AE43" s="37">
        <v>7</v>
      </c>
      <c r="AF43" s="60" t="s">
        <v>56</v>
      </c>
    </row>
    <row r="44" spans="1:32" ht="15.75" customHeight="1">
      <c r="A44" s="21">
        <v>40</v>
      </c>
      <c r="B44" s="21">
        <v>6.3</v>
      </c>
      <c r="C44" s="21">
        <v>3.9</v>
      </c>
      <c r="E44">
        <v>4.5999999999999996</v>
      </c>
      <c r="G44">
        <v>5.3</v>
      </c>
      <c r="H44" s="21" t="s">
        <v>56</v>
      </c>
      <c r="I44" s="33">
        <v>4.0999999999999996</v>
      </c>
      <c r="J44" s="15" t="s">
        <v>56</v>
      </c>
      <c r="K44" s="34">
        <v>4.4000000000000004</v>
      </c>
      <c r="L44" s="15" t="s">
        <v>56</v>
      </c>
      <c r="M44" s="35">
        <v>4.8</v>
      </c>
      <c r="N44" s="15" t="s">
        <v>56</v>
      </c>
      <c r="O44" s="35">
        <v>4.0999999999999996</v>
      </c>
      <c r="P44" s="15" t="s">
        <v>56</v>
      </c>
      <c r="Q44" s="35">
        <v>5.3</v>
      </c>
      <c r="R44" s="15" t="s">
        <v>56</v>
      </c>
      <c r="S44" s="35">
        <v>4</v>
      </c>
      <c r="T44" s="15" t="s">
        <v>56</v>
      </c>
      <c r="U44" s="35">
        <v>5.21</v>
      </c>
      <c r="V44" s="15" t="s">
        <v>56</v>
      </c>
      <c r="W44" s="34">
        <v>5.78</v>
      </c>
      <c r="X44" s="15" t="s">
        <v>56</v>
      </c>
      <c r="Y44" s="49">
        <v>6.39</v>
      </c>
      <c r="Z44" s="15" t="s">
        <v>56</v>
      </c>
      <c r="AA44" s="34">
        <v>5.96</v>
      </c>
      <c r="AB44" s="15" t="s">
        <v>56</v>
      </c>
      <c r="AC44" s="61">
        <v>6.08</v>
      </c>
      <c r="AD44" s="60" t="s">
        <v>56</v>
      </c>
      <c r="AE44" s="37">
        <v>6.5</v>
      </c>
      <c r="AF44" s="60" t="s">
        <v>56</v>
      </c>
    </row>
    <row r="45" spans="1:32" ht="15.75" customHeight="1">
      <c r="A45" s="21">
        <v>41</v>
      </c>
      <c r="B45" s="21">
        <v>4.5</v>
      </c>
      <c r="C45" s="21">
        <v>3.7</v>
      </c>
      <c r="E45">
        <v>4.0999999999999996</v>
      </c>
      <c r="G45">
        <v>4.2</v>
      </c>
      <c r="H45" s="21" t="s">
        <v>56</v>
      </c>
      <c r="I45" s="33">
        <v>4</v>
      </c>
      <c r="J45" s="15" t="s">
        <v>56</v>
      </c>
      <c r="K45" s="34">
        <v>3.9</v>
      </c>
      <c r="L45" s="15" t="s">
        <v>56</v>
      </c>
      <c r="M45" s="35">
        <v>4.8</v>
      </c>
      <c r="N45" s="15" t="s">
        <v>56</v>
      </c>
      <c r="O45" s="35">
        <v>4.7</v>
      </c>
      <c r="P45" s="15" t="s">
        <v>56</v>
      </c>
      <c r="Q45" s="35">
        <v>4.4000000000000004</v>
      </c>
      <c r="R45" s="15" t="s">
        <v>56</v>
      </c>
      <c r="S45" s="35">
        <v>4.0999999999999996</v>
      </c>
      <c r="T45" s="15" t="s">
        <v>56</v>
      </c>
      <c r="U45" s="35">
        <v>4.24</v>
      </c>
      <c r="V45" s="15" t="s">
        <v>56</v>
      </c>
      <c r="W45" s="34">
        <v>6.51</v>
      </c>
      <c r="X45" s="15" t="s">
        <v>56</v>
      </c>
      <c r="Y45" s="49">
        <v>7.77</v>
      </c>
      <c r="Z45" s="15" t="s">
        <v>56</v>
      </c>
      <c r="AA45" s="52">
        <v>9.09</v>
      </c>
      <c r="AB45" s="15" t="s">
        <v>58</v>
      </c>
      <c r="AC45" s="63">
        <v>9.49</v>
      </c>
      <c r="AD45" s="60" t="s">
        <v>58</v>
      </c>
      <c r="AE45" s="64">
        <v>11</v>
      </c>
      <c r="AF45" s="60" t="s">
        <v>58</v>
      </c>
    </row>
    <row r="46" spans="1:32" ht="15.75" customHeight="1">
      <c r="A46" s="21">
        <v>42</v>
      </c>
      <c r="B46" s="21">
        <v>4.5999999999999996</v>
      </c>
      <c r="C46" s="21">
        <v>3.9</v>
      </c>
      <c r="E46">
        <v>3.9</v>
      </c>
      <c r="G46">
        <v>4</v>
      </c>
      <c r="H46" s="21" t="s">
        <v>56</v>
      </c>
      <c r="I46" s="33">
        <v>4.3</v>
      </c>
      <c r="J46" s="15" t="s">
        <v>56</v>
      </c>
      <c r="K46" s="34">
        <v>3.9</v>
      </c>
      <c r="L46" s="15" t="s">
        <v>56</v>
      </c>
      <c r="M46" s="35">
        <v>4.5999999999999996</v>
      </c>
      <c r="N46" s="15" t="s">
        <v>56</v>
      </c>
      <c r="O46" s="35">
        <v>4.7</v>
      </c>
      <c r="P46" s="15" t="s">
        <v>56</v>
      </c>
      <c r="Q46" s="35">
        <v>4.5</v>
      </c>
      <c r="R46" s="15" t="s">
        <v>56</v>
      </c>
      <c r="S46" s="35">
        <v>4.2</v>
      </c>
      <c r="T46" s="15" t="s">
        <v>56</v>
      </c>
      <c r="U46" s="35">
        <v>4.91</v>
      </c>
      <c r="V46" s="15" t="s">
        <v>56</v>
      </c>
      <c r="W46" s="34">
        <v>6.03</v>
      </c>
      <c r="X46" s="15" t="s">
        <v>56</v>
      </c>
      <c r="Y46" s="56">
        <v>9.0500000000000007</v>
      </c>
      <c r="Z46" s="15" t="s">
        <v>58</v>
      </c>
      <c r="AA46" s="52">
        <v>10.47</v>
      </c>
      <c r="AB46" s="15" t="s">
        <v>58</v>
      </c>
      <c r="AC46" s="63">
        <v>10.89</v>
      </c>
      <c r="AD46" s="60" t="s">
        <v>58</v>
      </c>
      <c r="AE46" s="65">
        <v>12.6</v>
      </c>
      <c r="AF46" s="60" t="s">
        <v>60</v>
      </c>
    </row>
    <row r="47" spans="1:32" ht="15.75" customHeight="1">
      <c r="A47" s="21">
        <v>43</v>
      </c>
      <c r="B47" s="21">
        <v>4.8</v>
      </c>
      <c r="C47" s="21">
        <v>3.8</v>
      </c>
      <c r="E47">
        <v>4</v>
      </c>
      <c r="G47">
        <v>4</v>
      </c>
      <c r="H47" s="21" t="s">
        <v>56</v>
      </c>
      <c r="I47" s="33">
        <v>4.2</v>
      </c>
      <c r="J47" s="15" t="s">
        <v>56</v>
      </c>
      <c r="K47" s="34">
        <v>4.0999999999999996</v>
      </c>
      <c r="L47" s="15" t="s">
        <v>56</v>
      </c>
      <c r="M47" s="35">
        <v>4.5</v>
      </c>
      <c r="N47" s="15" t="s">
        <v>56</v>
      </c>
      <c r="O47" s="35">
        <v>4.3</v>
      </c>
      <c r="P47" s="15" t="s">
        <v>56</v>
      </c>
      <c r="Q47" s="35">
        <v>4.7</v>
      </c>
      <c r="R47" s="15" t="s">
        <v>56</v>
      </c>
      <c r="S47" s="35">
        <v>4.0999999999999996</v>
      </c>
      <c r="T47" s="15" t="s">
        <v>56</v>
      </c>
      <c r="U47" s="35">
        <v>5.1100000000000003</v>
      </c>
      <c r="V47" s="15" t="s">
        <v>56</v>
      </c>
      <c r="W47" s="34">
        <v>6.27</v>
      </c>
      <c r="X47" s="15" t="s">
        <v>56</v>
      </c>
      <c r="Y47" s="56">
        <v>9.6999999999999993</v>
      </c>
      <c r="Z47" s="15" t="s">
        <v>58</v>
      </c>
      <c r="AA47" s="52">
        <v>11.43</v>
      </c>
      <c r="AB47" s="15" t="s">
        <v>58</v>
      </c>
      <c r="AC47" s="63">
        <v>11.52</v>
      </c>
      <c r="AD47" s="60" t="s">
        <v>58</v>
      </c>
      <c r="AE47" s="65">
        <v>13.8</v>
      </c>
      <c r="AF47" s="60" t="s">
        <v>60</v>
      </c>
    </row>
    <row r="48" spans="1:32" ht="15.75" customHeight="1">
      <c r="A48" s="21">
        <v>44</v>
      </c>
      <c r="B48" s="21">
        <v>4.8</v>
      </c>
      <c r="C48" s="21">
        <v>3.9</v>
      </c>
      <c r="E48">
        <v>3.4</v>
      </c>
      <c r="G48">
        <v>3.9</v>
      </c>
      <c r="H48" s="21" t="s">
        <v>56</v>
      </c>
      <c r="I48" s="33">
        <v>4</v>
      </c>
      <c r="J48" s="15" t="s">
        <v>56</v>
      </c>
      <c r="K48" s="34">
        <v>4.5</v>
      </c>
      <c r="L48" s="15" t="s">
        <v>56</v>
      </c>
      <c r="M48" s="35">
        <v>4.5</v>
      </c>
      <c r="N48" s="15" t="s">
        <v>56</v>
      </c>
      <c r="O48" s="35">
        <v>3.9</v>
      </c>
      <c r="P48" s="15" t="s">
        <v>56</v>
      </c>
      <c r="Q48" s="35">
        <v>4.5</v>
      </c>
      <c r="R48" s="15" t="s">
        <v>56</v>
      </c>
      <c r="S48" s="35">
        <v>4</v>
      </c>
      <c r="T48" s="15" t="s">
        <v>56</v>
      </c>
      <c r="U48" s="35">
        <v>4.72</v>
      </c>
      <c r="V48" s="15" t="s">
        <v>56</v>
      </c>
      <c r="W48" s="34">
        <v>6.13</v>
      </c>
      <c r="X48" s="15" t="s">
        <v>56</v>
      </c>
      <c r="Y48" s="49">
        <v>7.89</v>
      </c>
      <c r="Z48" s="15" t="s">
        <v>56</v>
      </c>
      <c r="AA48" s="52">
        <v>9.43</v>
      </c>
      <c r="AB48" s="15" t="s">
        <v>58</v>
      </c>
      <c r="AC48" s="63">
        <v>10.08</v>
      </c>
      <c r="AD48" s="60" t="s">
        <v>58</v>
      </c>
      <c r="AE48" s="64">
        <v>11.2</v>
      </c>
      <c r="AF48" s="60" t="s">
        <v>58</v>
      </c>
    </row>
    <row r="49" spans="1:32" ht="15.75" customHeight="1">
      <c r="A49" s="21">
        <v>45</v>
      </c>
      <c r="B49" s="21">
        <v>4.7</v>
      </c>
      <c r="C49" s="21">
        <v>3.4</v>
      </c>
      <c r="E49">
        <v>3.3</v>
      </c>
      <c r="G49">
        <v>3.9</v>
      </c>
      <c r="H49" s="21" t="s">
        <v>56</v>
      </c>
      <c r="I49" s="33">
        <v>4.2</v>
      </c>
      <c r="J49" s="15" t="s">
        <v>56</v>
      </c>
      <c r="K49" s="34">
        <v>4.2</v>
      </c>
      <c r="L49" s="15" t="s">
        <v>56</v>
      </c>
      <c r="M49" s="35">
        <v>4.7</v>
      </c>
      <c r="N49" s="15" t="s">
        <v>56</v>
      </c>
      <c r="O49" s="35">
        <v>4.3</v>
      </c>
      <c r="P49" s="15" t="s">
        <v>56</v>
      </c>
      <c r="Q49" s="35">
        <v>4.3</v>
      </c>
      <c r="R49" s="15" t="s">
        <v>56</v>
      </c>
      <c r="S49" s="35">
        <v>4.3</v>
      </c>
      <c r="T49" s="15" t="s">
        <v>56</v>
      </c>
      <c r="U49" s="35">
        <v>4.55</v>
      </c>
      <c r="V49" s="15" t="s">
        <v>56</v>
      </c>
      <c r="W49" s="34">
        <v>6.09</v>
      </c>
      <c r="X49" s="15" t="s">
        <v>56</v>
      </c>
      <c r="Y49" s="49">
        <v>7.95</v>
      </c>
      <c r="Z49" s="15" t="s">
        <v>56</v>
      </c>
      <c r="AA49" s="52">
        <v>9.3800000000000008</v>
      </c>
      <c r="AB49" s="15" t="s">
        <v>58</v>
      </c>
      <c r="AC49" s="63">
        <v>9.86</v>
      </c>
      <c r="AD49" s="60" t="s">
        <v>58</v>
      </c>
      <c r="AE49" s="64">
        <v>11.2</v>
      </c>
      <c r="AF49" s="60" t="s">
        <v>58</v>
      </c>
    </row>
    <row r="50" spans="1:32" ht="15.75" customHeight="1">
      <c r="A50" s="21">
        <v>46</v>
      </c>
      <c r="B50" s="21">
        <v>4.4000000000000004</v>
      </c>
      <c r="C50" s="21">
        <v>3.7</v>
      </c>
      <c r="E50">
        <v>3.4</v>
      </c>
      <c r="G50">
        <v>4</v>
      </c>
      <c r="H50" s="21" t="s">
        <v>56</v>
      </c>
      <c r="I50" s="33">
        <v>4.3</v>
      </c>
      <c r="J50" s="15" t="s">
        <v>56</v>
      </c>
      <c r="K50" s="34">
        <v>4.4000000000000004</v>
      </c>
      <c r="L50" s="15" t="s">
        <v>56</v>
      </c>
      <c r="M50" s="35">
        <v>4.4000000000000004</v>
      </c>
      <c r="N50" s="15" t="s">
        <v>56</v>
      </c>
      <c r="O50" s="35">
        <v>4.5999999999999996</v>
      </c>
      <c r="P50" s="15" t="s">
        <v>56</v>
      </c>
      <c r="Q50" s="35">
        <v>4.7</v>
      </c>
      <c r="R50" s="15" t="s">
        <v>56</v>
      </c>
      <c r="S50" s="35">
        <v>4.0999999999999996</v>
      </c>
      <c r="T50" s="15" t="s">
        <v>56</v>
      </c>
      <c r="U50" s="35">
        <v>5.16</v>
      </c>
      <c r="V50" s="15" t="s">
        <v>56</v>
      </c>
      <c r="W50" s="34">
        <v>5.35</v>
      </c>
      <c r="X50" s="15" t="s">
        <v>56</v>
      </c>
      <c r="Y50" s="56">
        <v>10.84</v>
      </c>
      <c r="Z50" s="15" t="s">
        <v>58</v>
      </c>
      <c r="AA50" s="53">
        <v>13.08</v>
      </c>
      <c r="AB50" s="15" t="s">
        <v>60</v>
      </c>
      <c r="AC50" s="53">
        <v>13.79</v>
      </c>
      <c r="AD50" s="60" t="s">
        <v>60</v>
      </c>
      <c r="AE50" s="65">
        <v>15.4</v>
      </c>
      <c r="AF50" s="60" t="s">
        <v>60</v>
      </c>
    </row>
    <row r="51" spans="1:32" ht="15.75" customHeight="1">
      <c r="A51" s="21">
        <v>47</v>
      </c>
      <c r="B51" s="21">
        <v>4.7</v>
      </c>
      <c r="C51" s="21">
        <v>3.4</v>
      </c>
      <c r="E51">
        <v>3.4</v>
      </c>
      <c r="G51">
        <v>3.7</v>
      </c>
      <c r="H51" s="21" t="s">
        <v>56</v>
      </c>
      <c r="I51" s="33">
        <v>3.8</v>
      </c>
      <c r="J51" s="15" t="s">
        <v>56</v>
      </c>
      <c r="K51" s="34">
        <v>4.2</v>
      </c>
      <c r="L51" s="15" t="s">
        <v>56</v>
      </c>
      <c r="M51" s="35">
        <v>4.5</v>
      </c>
      <c r="N51" s="15" t="s">
        <v>56</v>
      </c>
      <c r="O51" s="35">
        <v>4.5999999999999996</v>
      </c>
      <c r="P51" s="15" t="s">
        <v>56</v>
      </c>
      <c r="Q51" s="35">
        <v>4.5999999999999996</v>
      </c>
      <c r="R51" s="15" t="s">
        <v>56</v>
      </c>
      <c r="S51" s="35">
        <v>4.3</v>
      </c>
      <c r="T51" s="15" t="s">
        <v>56</v>
      </c>
      <c r="U51" s="35">
        <v>5.15</v>
      </c>
      <c r="V51" s="15" t="s">
        <v>56</v>
      </c>
      <c r="W51" s="34">
        <v>6.12</v>
      </c>
      <c r="X51" s="15" t="s">
        <v>56</v>
      </c>
      <c r="Y51" s="56">
        <v>9.07</v>
      </c>
      <c r="Z51" s="15" t="s">
        <v>58</v>
      </c>
      <c r="AA51" s="52">
        <v>10.3</v>
      </c>
      <c r="AB51" s="15" t="s">
        <v>58</v>
      </c>
      <c r="AC51" s="63">
        <v>10.84</v>
      </c>
      <c r="AD51" s="60" t="s">
        <v>58</v>
      </c>
      <c r="AE51" s="64">
        <v>12.1</v>
      </c>
      <c r="AF51" s="60" t="s">
        <v>58</v>
      </c>
    </row>
    <row r="52" spans="1:32" ht="15.75" customHeight="1">
      <c r="A52" s="21">
        <v>48</v>
      </c>
      <c r="B52" s="21">
        <v>4.5999999999999996</v>
      </c>
      <c r="C52" s="21">
        <v>3.6</v>
      </c>
      <c r="E52">
        <v>3.6</v>
      </c>
      <c r="G52">
        <v>4.3</v>
      </c>
      <c r="H52" s="21" t="s">
        <v>56</v>
      </c>
      <c r="I52" s="33">
        <v>4.3</v>
      </c>
      <c r="J52" s="15" t="s">
        <v>56</v>
      </c>
      <c r="K52" s="34">
        <v>4.2</v>
      </c>
      <c r="L52" s="15" t="s">
        <v>56</v>
      </c>
      <c r="M52" s="35">
        <v>4.4000000000000004</v>
      </c>
      <c r="N52" s="15" t="s">
        <v>56</v>
      </c>
      <c r="O52" s="35">
        <v>4.5999999999999996</v>
      </c>
      <c r="P52" s="15" t="s">
        <v>56</v>
      </c>
      <c r="Q52" s="35">
        <v>4.7</v>
      </c>
      <c r="R52" s="15" t="s">
        <v>56</v>
      </c>
      <c r="S52" s="35">
        <v>4.5999999999999996</v>
      </c>
      <c r="T52" s="15" t="s">
        <v>56</v>
      </c>
      <c r="U52" s="35">
        <v>4.57</v>
      </c>
      <c r="V52" s="15" t="s">
        <v>56</v>
      </c>
      <c r="W52" s="34">
        <v>5.5</v>
      </c>
      <c r="X52" s="15" t="s">
        <v>56</v>
      </c>
      <c r="Y52" s="58">
        <v>12.68</v>
      </c>
      <c r="Z52" s="15" t="s">
        <v>60</v>
      </c>
      <c r="AA52" s="53">
        <v>15.28</v>
      </c>
      <c r="AB52" s="15" t="s">
        <v>60</v>
      </c>
      <c r="AC52" s="53">
        <v>16.12</v>
      </c>
      <c r="AD52" s="60" t="s">
        <v>60</v>
      </c>
      <c r="AE52" s="65">
        <v>19.8</v>
      </c>
      <c r="AF52" s="60" t="s">
        <v>60</v>
      </c>
    </row>
    <row r="53" spans="1:32" ht="15.75" customHeight="1">
      <c r="A53" s="21">
        <v>49</v>
      </c>
      <c r="B53" s="21">
        <v>4.7</v>
      </c>
      <c r="C53" s="21">
        <v>3.5</v>
      </c>
      <c r="E53">
        <v>3.9</v>
      </c>
      <c r="G53">
        <v>3.8</v>
      </c>
      <c r="H53" s="21" t="s">
        <v>56</v>
      </c>
      <c r="I53" s="33">
        <v>4.7</v>
      </c>
      <c r="J53" s="15" t="s">
        <v>56</v>
      </c>
      <c r="K53" s="34">
        <v>4.4000000000000004</v>
      </c>
      <c r="L53" s="15" t="s">
        <v>56</v>
      </c>
      <c r="M53" s="35">
        <v>4.5</v>
      </c>
      <c r="N53" s="15" t="s">
        <v>56</v>
      </c>
      <c r="O53" s="35">
        <v>5.7</v>
      </c>
      <c r="P53" s="15" t="s">
        <v>56</v>
      </c>
      <c r="Q53" s="35">
        <v>4.8</v>
      </c>
      <c r="R53" s="15" t="s">
        <v>56</v>
      </c>
      <c r="S53" s="35">
        <v>5.5</v>
      </c>
      <c r="T53" s="15" t="s">
        <v>56</v>
      </c>
      <c r="U53" s="35">
        <v>4.5599999999999996</v>
      </c>
      <c r="V53" s="15" t="s">
        <v>56</v>
      </c>
      <c r="W53" s="34">
        <v>5.69</v>
      </c>
      <c r="X53" s="15" t="s">
        <v>56</v>
      </c>
      <c r="Y53" s="56">
        <v>9.5500000000000007</v>
      </c>
      <c r="Z53" s="15" t="s">
        <v>58</v>
      </c>
      <c r="AA53" s="52">
        <v>11.4</v>
      </c>
      <c r="AB53" s="15" t="s">
        <v>58</v>
      </c>
      <c r="AC53" s="53">
        <v>12.14</v>
      </c>
      <c r="AD53" s="60" t="s">
        <v>60</v>
      </c>
      <c r="AE53" s="64">
        <v>13.6</v>
      </c>
      <c r="AF53" s="60" t="s">
        <v>58</v>
      </c>
    </row>
    <row r="54" spans="1:32" ht="15.75" customHeight="1">
      <c r="A54" s="21">
        <v>50</v>
      </c>
      <c r="B54" s="21">
        <v>4.5</v>
      </c>
      <c r="C54" s="21">
        <v>4.2</v>
      </c>
      <c r="E54">
        <v>4.0999999999999996</v>
      </c>
      <c r="G54">
        <v>4.3</v>
      </c>
      <c r="H54" s="21" t="s">
        <v>56</v>
      </c>
      <c r="I54" s="33">
        <v>4.2</v>
      </c>
      <c r="J54" s="15" t="s">
        <v>56</v>
      </c>
      <c r="K54" s="34">
        <v>4.7</v>
      </c>
      <c r="L54" s="15" t="s">
        <v>56</v>
      </c>
      <c r="M54" s="35">
        <v>5</v>
      </c>
      <c r="N54" s="15" t="s">
        <v>56</v>
      </c>
      <c r="O54" s="35">
        <v>4.5</v>
      </c>
      <c r="P54" s="15" t="s">
        <v>56</v>
      </c>
      <c r="Q54" s="35">
        <v>4.4000000000000004</v>
      </c>
      <c r="R54" s="15" t="s">
        <v>56</v>
      </c>
      <c r="S54" s="35">
        <v>4.3</v>
      </c>
      <c r="T54" s="15" t="s">
        <v>56</v>
      </c>
      <c r="U54" s="35">
        <v>5.94</v>
      </c>
      <c r="V54" s="15" t="s">
        <v>56</v>
      </c>
      <c r="W54" s="34">
        <v>5.37</v>
      </c>
      <c r="X54" s="15" t="s">
        <v>56</v>
      </c>
      <c r="Y54" s="58">
        <v>28.64</v>
      </c>
      <c r="Z54" s="15" t="s">
        <v>60</v>
      </c>
      <c r="AA54" s="53">
        <v>9999</v>
      </c>
      <c r="AB54" s="15" t="s">
        <v>60</v>
      </c>
      <c r="AC54" s="53">
        <v>9999</v>
      </c>
      <c r="AD54" s="60" t="s">
        <v>60</v>
      </c>
      <c r="AE54" s="65">
        <v>51.8</v>
      </c>
      <c r="AF54" s="60" t="s">
        <v>60</v>
      </c>
    </row>
    <row r="55" spans="1:32" ht="15.75" customHeight="1">
      <c r="A55" s="21">
        <v>51</v>
      </c>
      <c r="B55" s="21">
        <v>4.5</v>
      </c>
      <c r="C55" s="21">
        <v>4</v>
      </c>
      <c r="E55">
        <v>4</v>
      </c>
      <c r="G55">
        <v>4.2</v>
      </c>
      <c r="H55" s="21" t="s">
        <v>56</v>
      </c>
      <c r="I55" s="33">
        <v>3.9</v>
      </c>
      <c r="J55" s="15" t="s">
        <v>56</v>
      </c>
      <c r="K55" s="34">
        <v>4.2</v>
      </c>
      <c r="L55" s="15" t="s">
        <v>56</v>
      </c>
      <c r="M55" s="35">
        <v>4.5999999999999996</v>
      </c>
      <c r="N55" s="15" t="s">
        <v>56</v>
      </c>
      <c r="O55" s="35">
        <v>4.8</v>
      </c>
      <c r="P55" s="15" t="s">
        <v>56</v>
      </c>
      <c r="Q55" s="35">
        <v>4.9000000000000004</v>
      </c>
      <c r="R55" s="15" t="s">
        <v>56</v>
      </c>
      <c r="S55" s="35">
        <v>4.7</v>
      </c>
      <c r="T55" s="15" t="s">
        <v>56</v>
      </c>
      <c r="U55" s="35">
        <v>5.04</v>
      </c>
      <c r="V55" s="15" t="s">
        <v>56</v>
      </c>
      <c r="W55" s="34">
        <v>7.65</v>
      </c>
      <c r="X55" s="15" t="s">
        <v>56</v>
      </c>
      <c r="Y55" s="49">
        <v>7.56</v>
      </c>
      <c r="Z55" s="15" t="s">
        <v>56</v>
      </c>
      <c r="AA55" s="34">
        <v>8.85</v>
      </c>
      <c r="AB55" s="15" t="s">
        <v>56</v>
      </c>
      <c r="AC55" s="63">
        <v>9.35</v>
      </c>
      <c r="AD55" s="60" t="s">
        <v>58</v>
      </c>
      <c r="AE55" s="64">
        <v>10.9</v>
      </c>
      <c r="AF55" s="60" t="s">
        <v>58</v>
      </c>
    </row>
    <row r="56" spans="1:32" ht="15.75" customHeight="1">
      <c r="A56" s="21">
        <v>52</v>
      </c>
      <c r="B56" s="21">
        <v>4.5999999999999996</v>
      </c>
      <c r="C56" s="21">
        <v>4</v>
      </c>
      <c r="E56">
        <v>3.8</v>
      </c>
      <c r="G56">
        <v>3.7</v>
      </c>
      <c r="H56" s="21" t="s">
        <v>56</v>
      </c>
      <c r="I56" s="33">
        <v>4.4000000000000004</v>
      </c>
      <c r="J56" s="15" t="s">
        <v>56</v>
      </c>
      <c r="K56" s="34">
        <v>4.2</v>
      </c>
      <c r="L56" s="15" t="s">
        <v>56</v>
      </c>
      <c r="M56" s="35">
        <v>4.8</v>
      </c>
      <c r="N56" s="15" t="s">
        <v>56</v>
      </c>
      <c r="O56" s="35">
        <v>5</v>
      </c>
      <c r="P56" s="15" t="s">
        <v>56</v>
      </c>
      <c r="Q56" s="35">
        <v>5</v>
      </c>
      <c r="R56" s="15" t="s">
        <v>56</v>
      </c>
      <c r="S56" s="35">
        <v>4.9000000000000004</v>
      </c>
      <c r="T56" s="15" t="s">
        <v>56</v>
      </c>
      <c r="U56" s="35">
        <v>5.39</v>
      </c>
      <c r="V56" s="15" t="s">
        <v>56</v>
      </c>
      <c r="W56" s="34">
        <v>5.45</v>
      </c>
      <c r="X56" s="15" t="s">
        <v>56</v>
      </c>
      <c r="Y56" s="58">
        <v>15.69</v>
      </c>
      <c r="Z56" s="15" t="s">
        <v>60</v>
      </c>
      <c r="AA56" s="53">
        <v>20.170000000000002</v>
      </c>
      <c r="AB56" s="15" t="s">
        <v>60</v>
      </c>
      <c r="AC56" s="53">
        <v>24.98</v>
      </c>
      <c r="AD56" s="60" t="s">
        <v>60</v>
      </c>
      <c r="AE56" s="65">
        <v>27.9</v>
      </c>
      <c r="AF56" s="60" t="s">
        <v>60</v>
      </c>
    </row>
    <row r="57" spans="1:32" ht="15.75" customHeight="1">
      <c r="A57" s="21">
        <v>53</v>
      </c>
      <c r="B57" s="21">
        <v>4.5</v>
      </c>
      <c r="C57" s="21">
        <v>3.4</v>
      </c>
      <c r="E57">
        <v>3.9</v>
      </c>
      <c r="G57">
        <v>4</v>
      </c>
      <c r="H57" s="21" t="s">
        <v>56</v>
      </c>
      <c r="I57" s="33">
        <v>4.5</v>
      </c>
      <c r="J57" s="15" t="s">
        <v>56</v>
      </c>
      <c r="K57" s="34">
        <v>4.5</v>
      </c>
      <c r="L57" s="15" t="s">
        <v>56</v>
      </c>
      <c r="M57" s="35">
        <v>4.9000000000000004</v>
      </c>
      <c r="N57" s="15" t="s">
        <v>56</v>
      </c>
      <c r="O57" s="35">
        <v>5.2</v>
      </c>
      <c r="P57" s="15" t="s">
        <v>56</v>
      </c>
      <c r="Q57" s="35">
        <v>4.7</v>
      </c>
      <c r="R57" s="15" t="s">
        <v>56</v>
      </c>
      <c r="S57" s="35">
        <v>5</v>
      </c>
      <c r="T57" s="15" t="s">
        <v>56</v>
      </c>
      <c r="U57" s="35">
        <v>5.43</v>
      </c>
      <c r="V57" s="15" t="s">
        <v>56</v>
      </c>
      <c r="W57" s="34">
        <v>5.77</v>
      </c>
      <c r="X57" s="15" t="s">
        <v>56</v>
      </c>
      <c r="Y57" s="58">
        <v>13</v>
      </c>
      <c r="Z57" s="15" t="s">
        <v>60</v>
      </c>
      <c r="AA57" s="53">
        <v>16.64</v>
      </c>
      <c r="AB57" s="15" t="s">
        <v>60</v>
      </c>
      <c r="AC57" s="53">
        <v>17.399999999999999</v>
      </c>
      <c r="AD57" s="60" t="s">
        <v>60</v>
      </c>
      <c r="AE57" s="65">
        <v>19.600000000000001</v>
      </c>
      <c r="AF57" s="60" t="s">
        <v>60</v>
      </c>
    </row>
    <row r="58" spans="1:32" ht="15.75" customHeight="1">
      <c r="A58" s="21">
        <v>54</v>
      </c>
      <c r="B58" s="21">
        <v>4.7</v>
      </c>
      <c r="C58" s="21">
        <v>3.8</v>
      </c>
      <c r="E58">
        <v>3.4</v>
      </c>
      <c r="G58">
        <v>3.6</v>
      </c>
      <c r="H58" s="21" t="s">
        <v>56</v>
      </c>
      <c r="I58" s="33">
        <v>3.9</v>
      </c>
      <c r="J58" s="15" t="s">
        <v>56</v>
      </c>
      <c r="K58" s="34">
        <v>4.5999999999999996</v>
      </c>
      <c r="L58" s="15" t="s">
        <v>56</v>
      </c>
      <c r="M58" s="35">
        <v>4.8</v>
      </c>
      <c r="N58" s="15" t="s">
        <v>56</v>
      </c>
      <c r="O58" s="35">
        <v>4.7</v>
      </c>
      <c r="P58" s="15" t="s">
        <v>56</v>
      </c>
      <c r="Q58" s="35">
        <v>4.4000000000000004</v>
      </c>
      <c r="R58" s="15" t="s">
        <v>56</v>
      </c>
      <c r="S58" s="35">
        <v>4.8</v>
      </c>
      <c r="T58" s="15" t="s">
        <v>56</v>
      </c>
      <c r="U58" s="35">
        <v>5.3</v>
      </c>
      <c r="V58" s="15" t="s">
        <v>56</v>
      </c>
      <c r="W58" s="34">
        <v>6.2</v>
      </c>
      <c r="X58" s="15" t="s">
        <v>56</v>
      </c>
      <c r="Y58" s="58">
        <v>13.34</v>
      </c>
      <c r="Z58" s="15" t="s">
        <v>60</v>
      </c>
      <c r="AA58" s="53">
        <v>16.37</v>
      </c>
      <c r="AB58" s="15" t="s">
        <v>60</v>
      </c>
      <c r="AC58" s="53">
        <v>17.420000000000002</v>
      </c>
      <c r="AD58" s="60" t="s">
        <v>60</v>
      </c>
      <c r="AE58" s="65">
        <v>19.3</v>
      </c>
      <c r="AF58" s="60" t="s">
        <v>60</v>
      </c>
    </row>
    <row r="59" spans="1:32" ht="15.75" customHeight="1">
      <c r="A59" s="21">
        <v>55</v>
      </c>
      <c r="B59" s="21">
        <v>4.8</v>
      </c>
      <c r="C59" s="21">
        <v>3.8</v>
      </c>
      <c r="E59">
        <v>3.4</v>
      </c>
      <c r="G59">
        <v>3.7</v>
      </c>
      <c r="H59" s="21" t="s">
        <v>56</v>
      </c>
      <c r="I59" s="33">
        <v>4.5</v>
      </c>
      <c r="J59" s="15" t="s">
        <v>56</v>
      </c>
      <c r="K59" s="34">
        <v>4.3</v>
      </c>
      <c r="L59" s="15" t="s">
        <v>56</v>
      </c>
      <c r="M59" s="35">
        <v>4.5999999999999996</v>
      </c>
      <c r="N59" s="15" t="s">
        <v>56</v>
      </c>
      <c r="O59" s="35">
        <v>7.8</v>
      </c>
      <c r="P59" s="15" t="s">
        <v>56</v>
      </c>
      <c r="Q59" s="35">
        <v>7.8</v>
      </c>
      <c r="R59" s="15" t="s">
        <v>56</v>
      </c>
      <c r="S59" s="35">
        <v>8.3000000000000007</v>
      </c>
      <c r="T59" s="15" t="s">
        <v>56</v>
      </c>
      <c r="U59" s="35">
        <v>4.6900000000000004</v>
      </c>
      <c r="V59" s="15" t="s">
        <v>56</v>
      </c>
      <c r="W59" s="34">
        <v>5.88</v>
      </c>
      <c r="X59" s="15" t="s">
        <v>56</v>
      </c>
      <c r="Y59" s="56">
        <v>9.09</v>
      </c>
      <c r="Z59" s="15" t="s">
        <v>58</v>
      </c>
      <c r="AA59" s="52">
        <v>10.97</v>
      </c>
      <c r="AB59" s="15" t="s">
        <v>58</v>
      </c>
      <c r="AC59" s="63">
        <v>11.13</v>
      </c>
      <c r="AD59" s="60" t="s">
        <v>58</v>
      </c>
      <c r="AE59" s="65">
        <v>12.7</v>
      </c>
      <c r="AF59" s="60" t="s">
        <v>60</v>
      </c>
    </row>
    <row r="60" spans="1:32" ht="15.75" customHeight="1">
      <c r="A60" s="21">
        <v>56</v>
      </c>
      <c r="B60" s="21">
        <v>4.8</v>
      </c>
      <c r="C60" s="21">
        <v>3.8</v>
      </c>
      <c r="E60">
        <v>3.5</v>
      </c>
      <c r="G60">
        <v>3.8</v>
      </c>
      <c r="H60" s="21" t="s">
        <v>56</v>
      </c>
      <c r="I60" s="33">
        <v>4.2</v>
      </c>
      <c r="J60" s="15" t="s">
        <v>56</v>
      </c>
      <c r="K60" s="34">
        <v>4.5999999999999996</v>
      </c>
      <c r="L60" s="15" t="s">
        <v>56</v>
      </c>
      <c r="M60" s="35">
        <v>6.6</v>
      </c>
      <c r="N60" s="15" t="s">
        <v>56</v>
      </c>
      <c r="O60" s="35">
        <v>4.8</v>
      </c>
      <c r="P60" s="15" t="s">
        <v>56</v>
      </c>
      <c r="Q60" s="35">
        <v>5.6</v>
      </c>
      <c r="R60" s="15" t="s">
        <v>56</v>
      </c>
      <c r="S60" s="35">
        <v>4.4000000000000004</v>
      </c>
      <c r="T60" s="15" t="s">
        <v>56</v>
      </c>
      <c r="U60" s="35">
        <v>8.98</v>
      </c>
      <c r="V60" s="15" t="s">
        <v>56</v>
      </c>
      <c r="W60" s="34">
        <v>5.84</v>
      </c>
      <c r="X60" s="15" t="s">
        <v>56</v>
      </c>
      <c r="Y60" s="58">
        <v>9999</v>
      </c>
      <c r="Z60" s="15" t="s">
        <v>60</v>
      </c>
      <c r="AA60" s="53">
        <v>9999</v>
      </c>
      <c r="AB60" s="15" t="s">
        <v>60</v>
      </c>
      <c r="AC60" s="53">
        <v>9999</v>
      </c>
      <c r="AD60" s="60" t="s">
        <v>60</v>
      </c>
      <c r="AE60" s="65">
        <v>49.4</v>
      </c>
      <c r="AF60" s="60" t="s">
        <v>60</v>
      </c>
    </row>
    <row r="61" spans="1:32" ht="15.75" customHeight="1">
      <c r="A61" s="21">
        <v>57</v>
      </c>
      <c r="B61" s="21">
        <v>4.5999999999999996</v>
      </c>
      <c r="C61" s="21">
        <v>3.9</v>
      </c>
      <c r="E61">
        <v>3.7</v>
      </c>
      <c r="G61">
        <v>3.9</v>
      </c>
      <c r="H61" s="21" t="s">
        <v>56</v>
      </c>
      <c r="I61" s="33">
        <v>4</v>
      </c>
      <c r="J61" s="15" t="s">
        <v>56</v>
      </c>
      <c r="K61" s="34">
        <v>4.2</v>
      </c>
      <c r="L61" s="15" t="s">
        <v>56</v>
      </c>
      <c r="M61" s="35">
        <v>4.5999999999999996</v>
      </c>
      <c r="N61" s="15" t="s">
        <v>56</v>
      </c>
      <c r="O61" s="35">
        <v>4.7</v>
      </c>
      <c r="P61" s="15" t="s">
        <v>56</v>
      </c>
      <c r="Q61" s="35">
        <v>4.7</v>
      </c>
      <c r="R61" s="15" t="s">
        <v>56</v>
      </c>
      <c r="S61" s="35">
        <v>4.4000000000000004</v>
      </c>
      <c r="T61" s="15" t="s">
        <v>56</v>
      </c>
      <c r="U61" s="35">
        <v>5.12</v>
      </c>
      <c r="V61" s="15" t="s">
        <v>56</v>
      </c>
      <c r="W61" s="34">
        <v>5.81</v>
      </c>
      <c r="X61" s="15" t="s">
        <v>56</v>
      </c>
      <c r="Y61" s="58">
        <v>14.16</v>
      </c>
      <c r="Z61" s="15" t="s">
        <v>60</v>
      </c>
      <c r="AA61" s="53">
        <v>18.52</v>
      </c>
      <c r="AB61" s="15" t="s">
        <v>60</v>
      </c>
      <c r="AC61" s="53">
        <v>20.100000000000001</v>
      </c>
      <c r="AD61" s="60" t="s">
        <v>60</v>
      </c>
      <c r="AE61" s="65">
        <v>23.2</v>
      </c>
      <c r="AF61" s="60" t="s">
        <v>60</v>
      </c>
    </row>
    <row r="62" spans="1:32" ht="15.75" customHeight="1">
      <c r="A62" s="21">
        <v>58</v>
      </c>
      <c r="B62" s="21">
        <v>4.9000000000000004</v>
      </c>
      <c r="C62" s="21">
        <v>3.5</v>
      </c>
      <c r="E62">
        <v>3.6</v>
      </c>
      <c r="G62">
        <v>4.2</v>
      </c>
      <c r="H62" s="21" t="s">
        <v>56</v>
      </c>
      <c r="I62" s="33">
        <v>4.0999999999999996</v>
      </c>
      <c r="J62" s="15" t="s">
        <v>56</v>
      </c>
      <c r="K62" s="34">
        <v>4</v>
      </c>
      <c r="L62" s="15" t="s">
        <v>56</v>
      </c>
      <c r="M62" s="35">
        <v>5</v>
      </c>
      <c r="N62" s="15" t="s">
        <v>56</v>
      </c>
      <c r="O62" s="35">
        <v>4.9000000000000004</v>
      </c>
      <c r="P62" s="15" t="s">
        <v>56</v>
      </c>
      <c r="Q62" s="35">
        <v>4.9000000000000004</v>
      </c>
      <c r="R62" s="15" t="s">
        <v>56</v>
      </c>
      <c r="S62" s="35">
        <v>5</v>
      </c>
      <c r="T62" s="15" t="s">
        <v>56</v>
      </c>
      <c r="U62" s="35">
        <v>4.74</v>
      </c>
      <c r="V62" s="15" t="s">
        <v>56</v>
      </c>
      <c r="W62" s="34">
        <v>5.53</v>
      </c>
      <c r="X62" s="15" t="s">
        <v>56</v>
      </c>
      <c r="Y62" s="49">
        <v>8.6300000000000008</v>
      </c>
      <c r="Z62" s="15" t="s">
        <v>56</v>
      </c>
      <c r="AA62" s="52">
        <v>10.59</v>
      </c>
      <c r="AB62" s="15" t="s">
        <v>58</v>
      </c>
      <c r="AC62" s="63">
        <v>10.91</v>
      </c>
      <c r="AD62" s="60" t="s">
        <v>58</v>
      </c>
      <c r="AE62" s="65">
        <v>12.5</v>
      </c>
      <c r="AF62" s="60" t="s">
        <v>60</v>
      </c>
    </row>
    <row r="63" spans="1:32" ht="15.75" customHeight="1">
      <c r="A63" s="21">
        <v>59</v>
      </c>
      <c r="B63" s="21">
        <v>4.5999999999999996</v>
      </c>
      <c r="C63" s="21">
        <v>3.5</v>
      </c>
      <c r="E63">
        <v>4.2</v>
      </c>
      <c r="G63">
        <v>4.0999999999999996</v>
      </c>
      <c r="H63" s="21" t="s">
        <v>56</v>
      </c>
      <c r="I63" s="33">
        <v>4.2</v>
      </c>
      <c r="J63" s="15" t="s">
        <v>56</v>
      </c>
      <c r="K63" s="34">
        <v>4.2</v>
      </c>
      <c r="L63" s="15" t="s">
        <v>56</v>
      </c>
      <c r="M63" s="35">
        <v>4.8</v>
      </c>
      <c r="N63" s="15" t="s">
        <v>56</v>
      </c>
      <c r="O63" s="35">
        <v>4.7</v>
      </c>
      <c r="P63" s="15" t="s">
        <v>56</v>
      </c>
      <c r="Q63" s="35">
        <v>4.9000000000000004</v>
      </c>
      <c r="R63" s="15" t="s">
        <v>56</v>
      </c>
      <c r="S63" s="35">
        <v>4.5999999999999996</v>
      </c>
      <c r="T63" s="15" t="s">
        <v>56</v>
      </c>
      <c r="U63" s="35">
        <v>5.35</v>
      </c>
      <c r="V63" s="15" t="s">
        <v>56</v>
      </c>
      <c r="W63" s="34">
        <v>6.65</v>
      </c>
      <c r="X63" s="15" t="s">
        <v>56</v>
      </c>
      <c r="Y63" s="58">
        <v>17.95</v>
      </c>
      <c r="Z63" s="15" t="s">
        <v>60</v>
      </c>
      <c r="AA63" s="53">
        <v>19.55</v>
      </c>
      <c r="AB63" s="15" t="s">
        <v>60</v>
      </c>
      <c r="AC63" s="53">
        <v>21.55</v>
      </c>
      <c r="AD63" s="60" t="s">
        <v>60</v>
      </c>
      <c r="AE63" s="65">
        <v>25.5</v>
      </c>
      <c r="AF63" s="60" t="s">
        <v>60</v>
      </c>
    </row>
    <row r="64" spans="1:32" ht="15.75" customHeight="1">
      <c r="A64" s="21">
        <v>60</v>
      </c>
      <c r="B64" s="21">
        <v>4.5999999999999996</v>
      </c>
      <c r="C64" s="21">
        <v>3.8</v>
      </c>
      <c r="E64">
        <v>3.9</v>
      </c>
      <c r="G64">
        <v>4.3</v>
      </c>
      <c r="H64" s="21" t="s">
        <v>56</v>
      </c>
      <c r="I64" s="33">
        <v>4.0999999999999996</v>
      </c>
      <c r="J64" s="15" t="s">
        <v>56</v>
      </c>
      <c r="K64" s="34">
        <v>4.0999999999999996</v>
      </c>
      <c r="L64" s="15" t="s">
        <v>56</v>
      </c>
      <c r="M64" s="35">
        <v>4.5</v>
      </c>
      <c r="N64" s="15" t="s">
        <v>56</v>
      </c>
      <c r="O64" s="35">
        <v>4.5</v>
      </c>
      <c r="P64" s="15" t="s">
        <v>56</v>
      </c>
      <c r="Q64" s="35">
        <v>4.7</v>
      </c>
      <c r="R64" s="15" t="s">
        <v>56</v>
      </c>
      <c r="S64" s="35">
        <v>4.8</v>
      </c>
      <c r="T64" s="15" t="s">
        <v>56</v>
      </c>
      <c r="U64" s="35">
        <v>4.17</v>
      </c>
      <c r="V64" s="15" t="s">
        <v>56</v>
      </c>
      <c r="W64" s="34">
        <v>5.65</v>
      </c>
      <c r="X64" s="15" t="s">
        <v>56</v>
      </c>
      <c r="Y64" s="49">
        <v>7.53</v>
      </c>
      <c r="Z64" s="15" t="s">
        <v>56</v>
      </c>
      <c r="AA64" s="34">
        <v>8.44</v>
      </c>
      <c r="AB64" s="15" t="s">
        <v>56</v>
      </c>
      <c r="AC64" s="61">
        <v>8.75</v>
      </c>
      <c r="AD64" s="60" t="s">
        <v>56</v>
      </c>
      <c r="AE64" s="64">
        <v>9.5</v>
      </c>
      <c r="AF64" s="60" t="s">
        <v>58</v>
      </c>
    </row>
    <row r="65" spans="1:32" ht="15.75" customHeight="1">
      <c r="A65" s="21">
        <v>61</v>
      </c>
      <c r="B65" s="21">
        <v>4.5999999999999996</v>
      </c>
      <c r="C65" s="21">
        <v>3.4</v>
      </c>
      <c r="E65">
        <v>4</v>
      </c>
      <c r="G65">
        <v>4.3</v>
      </c>
      <c r="H65" s="21" t="s">
        <v>56</v>
      </c>
      <c r="I65" s="33">
        <v>4.2</v>
      </c>
      <c r="J65" s="15" t="s">
        <v>56</v>
      </c>
      <c r="K65" s="34">
        <v>3.6</v>
      </c>
      <c r="L65" s="15" t="s">
        <v>56</v>
      </c>
      <c r="M65" s="35">
        <v>4.3</v>
      </c>
      <c r="N65" s="15" t="s">
        <v>56</v>
      </c>
      <c r="O65" s="35">
        <v>4.5999999999999996</v>
      </c>
      <c r="P65" s="15" t="s">
        <v>56</v>
      </c>
      <c r="Q65" s="35">
        <v>4.8</v>
      </c>
      <c r="R65" s="15" t="s">
        <v>56</v>
      </c>
      <c r="S65" s="35">
        <v>4.8</v>
      </c>
      <c r="T65" s="15" t="s">
        <v>56</v>
      </c>
      <c r="U65" s="35">
        <v>4.99</v>
      </c>
      <c r="V65" s="15" t="s">
        <v>56</v>
      </c>
      <c r="W65" s="34">
        <v>5.86</v>
      </c>
      <c r="X65" s="15" t="s">
        <v>56</v>
      </c>
      <c r="Y65" s="56">
        <v>9.23</v>
      </c>
      <c r="Z65" s="15" t="s">
        <v>60</v>
      </c>
      <c r="AA65" s="52">
        <v>10.56</v>
      </c>
      <c r="AB65" s="15" t="s">
        <v>58</v>
      </c>
      <c r="AC65" s="63">
        <v>11.1</v>
      </c>
      <c r="AD65" s="60" t="s">
        <v>58</v>
      </c>
      <c r="AE65" s="64">
        <v>12</v>
      </c>
      <c r="AF65" s="60" t="s">
        <v>58</v>
      </c>
    </row>
    <row r="66" spans="1:32" ht="15.75" customHeight="1">
      <c r="A66" s="21">
        <v>62</v>
      </c>
      <c r="B66" s="21">
        <v>4.9000000000000004</v>
      </c>
      <c r="C66" s="21">
        <v>3.9</v>
      </c>
      <c r="E66">
        <v>3.4</v>
      </c>
      <c r="G66">
        <v>4</v>
      </c>
      <c r="H66" s="21" t="s">
        <v>56</v>
      </c>
      <c r="I66" s="33">
        <v>4.2</v>
      </c>
      <c r="J66" s="15" t="s">
        <v>56</v>
      </c>
      <c r="K66" s="34">
        <v>4.3</v>
      </c>
      <c r="L66" s="15" t="s">
        <v>56</v>
      </c>
      <c r="M66" s="35">
        <v>4.5999999999999996</v>
      </c>
      <c r="N66" s="15" t="s">
        <v>56</v>
      </c>
      <c r="O66" s="35">
        <v>4.7</v>
      </c>
      <c r="P66" s="15" t="s">
        <v>56</v>
      </c>
      <c r="Q66" s="35">
        <v>4.9000000000000004</v>
      </c>
      <c r="R66" s="15" t="s">
        <v>56</v>
      </c>
      <c r="S66" s="35">
        <v>4.9000000000000004</v>
      </c>
      <c r="T66" s="15" t="s">
        <v>56</v>
      </c>
      <c r="U66" s="35">
        <v>4.84</v>
      </c>
      <c r="V66" s="15" t="s">
        <v>56</v>
      </c>
      <c r="W66" s="34">
        <v>6.13</v>
      </c>
      <c r="X66" s="15" t="s">
        <v>56</v>
      </c>
      <c r="Y66" s="49">
        <v>7.84</v>
      </c>
      <c r="Z66" s="15" t="s">
        <v>56</v>
      </c>
      <c r="AA66" s="34">
        <v>8.82</v>
      </c>
      <c r="AB66" s="15" t="s">
        <v>56</v>
      </c>
      <c r="AC66" s="63">
        <v>9.15</v>
      </c>
      <c r="AD66" s="60" t="s">
        <v>58</v>
      </c>
      <c r="AE66" s="64">
        <v>10.6</v>
      </c>
      <c r="AF66" s="60" t="s">
        <v>58</v>
      </c>
    </row>
    <row r="67" spans="1:32" ht="15.75" customHeight="1">
      <c r="A67" s="21">
        <v>63</v>
      </c>
      <c r="B67" s="21">
        <v>4.8</v>
      </c>
      <c r="C67" s="21">
        <v>3.8</v>
      </c>
      <c r="E67">
        <v>3.3</v>
      </c>
      <c r="G67">
        <v>4.0999999999999996</v>
      </c>
      <c r="H67" s="21" t="s">
        <v>56</v>
      </c>
      <c r="I67" s="33">
        <v>3.9</v>
      </c>
      <c r="J67" s="15" t="s">
        <v>56</v>
      </c>
      <c r="K67" s="34">
        <v>4.3</v>
      </c>
      <c r="L67" s="15" t="s">
        <v>56</v>
      </c>
      <c r="M67" s="35">
        <v>4.5999999999999996</v>
      </c>
      <c r="N67" s="15" t="s">
        <v>56</v>
      </c>
      <c r="O67" s="35">
        <v>4.5</v>
      </c>
      <c r="P67" s="15" t="s">
        <v>56</v>
      </c>
      <c r="Q67" s="35">
        <v>4.4000000000000004</v>
      </c>
      <c r="R67" s="15" t="s">
        <v>56</v>
      </c>
      <c r="S67" s="35">
        <v>4.8</v>
      </c>
      <c r="T67" s="15" t="s">
        <v>56</v>
      </c>
      <c r="U67" s="35">
        <v>5.05</v>
      </c>
      <c r="V67" s="15" t="s">
        <v>56</v>
      </c>
      <c r="W67" s="34">
        <v>6.06</v>
      </c>
      <c r="X67" s="15" t="s">
        <v>56</v>
      </c>
      <c r="Y67" s="56">
        <v>9.98</v>
      </c>
      <c r="Z67" s="15" t="s">
        <v>60</v>
      </c>
      <c r="AA67" s="52">
        <v>11.21</v>
      </c>
      <c r="AB67" s="15" t="s">
        <v>58</v>
      </c>
      <c r="AC67" s="63">
        <v>11.74</v>
      </c>
      <c r="AD67" s="60" t="s">
        <v>58</v>
      </c>
      <c r="AE67" s="65">
        <v>12.9</v>
      </c>
      <c r="AF67" s="60" t="s">
        <v>60</v>
      </c>
    </row>
    <row r="68" spans="1:32" ht="15.75" customHeight="1">
      <c r="A68" s="21">
        <v>64</v>
      </c>
      <c r="B68" s="21">
        <v>4.5999999999999996</v>
      </c>
      <c r="C68" s="21">
        <v>3.4</v>
      </c>
      <c r="E68">
        <v>3.3</v>
      </c>
      <c r="G68">
        <v>3.8</v>
      </c>
      <c r="H68" s="21" t="s">
        <v>56</v>
      </c>
      <c r="I68" s="33">
        <v>3.9</v>
      </c>
      <c r="J68" s="15" t="s">
        <v>56</v>
      </c>
      <c r="K68" s="34">
        <v>4.5</v>
      </c>
      <c r="L68" s="15" t="s">
        <v>56</v>
      </c>
      <c r="M68" s="35">
        <v>4.7</v>
      </c>
      <c r="N68" s="15" t="s">
        <v>56</v>
      </c>
      <c r="O68" s="35">
        <v>4.5999999999999996</v>
      </c>
      <c r="P68" s="15" t="s">
        <v>56</v>
      </c>
      <c r="Q68" s="35">
        <v>4.5999999999999996</v>
      </c>
      <c r="R68" s="15" t="s">
        <v>56</v>
      </c>
      <c r="S68" s="35">
        <v>4.2</v>
      </c>
      <c r="T68" s="15" t="s">
        <v>56</v>
      </c>
      <c r="U68" s="35">
        <v>4.57</v>
      </c>
      <c r="V68" s="15" t="s">
        <v>56</v>
      </c>
      <c r="W68" s="34">
        <v>5.49</v>
      </c>
      <c r="X68" s="15" t="s">
        <v>56</v>
      </c>
      <c r="Y68" s="49">
        <v>7.49</v>
      </c>
      <c r="Z68" s="15" t="s">
        <v>56</v>
      </c>
      <c r="AA68" s="52">
        <v>9.09</v>
      </c>
      <c r="AB68" s="15" t="s">
        <v>58</v>
      </c>
      <c r="AC68" s="61">
        <v>8.9499999999999993</v>
      </c>
      <c r="AD68" s="60" t="s">
        <v>56</v>
      </c>
      <c r="AE68" s="64">
        <v>10.3</v>
      </c>
      <c r="AF68" s="60" t="s">
        <v>58</v>
      </c>
    </row>
    <row r="69" spans="1:32" ht="15.75" customHeight="1">
      <c r="A69" s="21">
        <v>65</v>
      </c>
      <c r="B69" s="21">
        <v>4.8</v>
      </c>
      <c r="C69" s="21">
        <v>4.0999999999999996</v>
      </c>
      <c r="E69">
        <v>3.3</v>
      </c>
      <c r="G69">
        <v>4.3</v>
      </c>
      <c r="H69" s="21" t="s">
        <v>56</v>
      </c>
      <c r="I69" s="33">
        <v>4.3</v>
      </c>
      <c r="J69" s="15" t="s">
        <v>56</v>
      </c>
      <c r="K69" s="34">
        <v>4.2</v>
      </c>
      <c r="L69" s="15" t="s">
        <v>56</v>
      </c>
      <c r="M69" s="35">
        <v>6.6</v>
      </c>
      <c r="N69" s="15" t="s">
        <v>56</v>
      </c>
      <c r="O69" s="35">
        <v>4.7</v>
      </c>
      <c r="P69" s="15" t="s">
        <v>56</v>
      </c>
      <c r="Q69" s="35">
        <v>4.8</v>
      </c>
      <c r="R69" s="15" t="s">
        <v>56</v>
      </c>
      <c r="S69" s="35">
        <v>4.4000000000000004</v>
      </c>
      <c r="T69" s="15" t="s">
        <v>56</v>
      </c>
      <c r="U69" s="35">
        <v>4.74</v>
      </c>
      <c r="V69" s="15" t="s">
        <v>56</v>
      </c>
      <c r="W69" s="34">
        <v>5.9</v>
      </c>
      <c r="X69" s="15" t="s">
        <v>56</v>
      </c>
      <c r="Y69" s="56">
        <v>10.17</v>
      </c>
      <c r="Z69" s="15" t="s">
        <v>60</v>
      </c>
      <c r="AA69" s="53">
        <v>12.44</v>
      </c>
      <c r="AB69" s="15" t="s">
        <v>60</v>
      </c>
      <c r="AC69" s="53">
        <v>12.99</v>
      </c>
      <c r="AD69" s="60" t="s">
        <v>60</v>
      </c>
      <c r="AE69" s="65">
        <v>14.8</v>
      </c>
      <c r="AF69" s="60" t="s">
        <v>60</v>
      </c>
    </row>
    <row r="70" spans="1:32" ht="15.75" customHeight="1">
      <c r="A70" s="21">
        <v>66</v>
      </c>
      <c r="B70" s="21">
        <v>4.7</v>
      </c>
      <c r="C70" s="21">
        <v>3.6</v>
      </c>
      <c r="E70">
        <v>3.4</v>
      </c>
      <c r="G70">
        <v>4</v>
      </c>
      <c r="H70" s="21" t="s">
        <v>56</v>
      </c>
      <c r="I70" s="33">
        <v>4</v>
      </c>
      <c r="J70" s="15" t="s">
        <v>56</v>
      </c>
      <c r="K70" s="34">
        <v>4.2</v>
      </c>
      <c r="L70" s="15" t="s">
        <v>56</v>
      </c>
      <c r="M70" s="35">
        <v>4.5999999999999996</v>
      </c>
      <c r="N70" s="15" t="s">
        <v>56</v>
      </c>
      <c r="O70" s="35">
        <v>4.5</v>
      </c>
      <c r="P70" s="15" t="s">
        <v>56</v>
      </c>
      <c r="Q70" s="35">
        <v>4.5999999999999996</v>
      </c>
      <c r="R70" s="15" t="s">
        <v>56</v>
      </c>
      <c r="S70" s="35">
        <v>4.5</v>
      </c>
      <c r="T70" s="15" t="s">
        <v>56</v>
      </c>
      <c r="U70" s="35">
        <v>4.37</v>
      </c>
      <c r="V70" s="15" t="s">
        <v>56</v>
      </c>
      <c r="W70" s="34">
        <v>5.24</v>
      </c>
      <c r="X70" s="15" t="s">
        <v>56</v>
      </c>
      <c r="Y70" s="49">
        <v>7.44</v>
      </c>
      <c r="Z70" s="15" t="s">
        <v>56</v>
      </c>
      <c r="AA70" s="34">
        <v>8.9700000000000006</v>
      </c>
      <c r="AB70" s="15" t="s">
        <v>56</v>
      </c>
      <c r="AC70" s="63">
        <v>9.1</v>
      </c>
      <c r="AD70" s="60" t="s">
        <v>58</v>
      </c>
      <c r="AE70" s="64">
        <v>10.9</v>
      </c>
      <c r="AF70" s="60" t="s">
        <v>58</v>
      </c>
    </row>
    <row r="71" spans="1:32" ht="15.75" customHeight="1">
      <c r="A71" s="21">
        <v>67</v>
      </c>
      <c r="B71" s="21">
        <v>4.9000000000000004</v>
      </c>
      <c r="C71" s="21">
        <v>3.9</v>
      </c>
      <c r="E71">
        <v>3.3</v>
      </c>
      <c r="G71">
        <v>4.2</v>
      </c>
      <c r="H71" s="21" t="s">
        <v>56</v>
      </c>
      <c r="I71" s="33">
        <v>4.4000000000000004</v>
      </c>
      <c r="J71" s="15" t="s">
        <v>56</v>
      </c>
      <c r="K71" s="34">
        <v>4.3</v>
      </c>
      <c r="L71" s="15" t="s">
        <v>56</v>
      </c>
      <c r="M71" s="35">
        <v>4.5</v>
      </c>
      <c r="N71" s="15" t="s">
        <v>56</v>
      </c>
      <c r="O71" s="35">
        <v>4.5</v>
      </c>
      <c r="P71" s="15" t="s">
        <v>56</v>
      </c>
      <c r="Q71" s="35">
        <v>4.5999999999999996</v>
      </c>
      <c r="R71" s="15" t="s">
        <v>56</v>
      </c>
      <c r="S71" s="35">
        <v>4.5999999999999996</v>
      </c>
      <c r="T71" s="15" t="s">
        <v>56</v>
      </c>
      <c r="U71" s="35">
        <v>4.68</v>
      </c>
      <c r="V71" s="15" t="s">
        <v>56</v>
      </c>
      <c r="W71" s="34">
        <v>6.3</v>
      </c>
      <c r="X71" s="15" t="s">
        <v>56</v>
      </c>
      <c r="Y71" s="49">
        <v>6.89</v>
      </c>
      <c r="Z71" s="15" t="s">
        <v>56</v>
      </c>
      <c r="AA71" s="34">
        <v>8.6199999999999992</v>
      </c>
      <c r="AB71" s="15" t="s">
        <v>56</v>
      </c>
      <c r="AC71" s="61">
        <v>8.67</v>
      </c>
      <c r="AD71" s="60" t="s">
        <v>56</v>
      </c>
      <c r="AE71" s="64">
        <v>9.9</v>
      </c>
      <c r="AF71" s="60" t="s">
        <v>58</v>
      </c>
    </row>
    <row r="72" spans="1:32" ht="15.75" customHeight="1">
      <c r="A72" s="21">
        <v>68</v>
      </c>
      <c r="B72" s="21">
        <v>4.8</v>
      </c>
      <c r="C72" s="21">
        <v>3.9</v>
      </c>
      <c r="E72">
        <v>3.8</v>
      </c>
      <c r="G72">
        <v>4.2</v>
      </c>
      <c r="H72" s="21" t="s">
        <v>56</v>
      </c>
      <c r="I72" s="33">
        <v>4</v>
      </c>
      <c r="J72" s="15" t="s">
        <v>56</v>
      </c>
      <c r="K72" s="34">
        <v>4.3</v>
      </c>
      <c r="L72" s="15" t="s">
        <v>56</v>
      </c>
      <c r="M72" s="35">
        <v>4.5999999999999996</v>
      </c>
      <c r="N72" s="15" t="s">
        <v>56</v>
      </c>
      <c r="O72" s="35">
        <v>4.5999999999999996</v>
      </c>
      <c r="P72" s="15" t="s">
        <v>56</v>
      </c>
      <c r="Q72" s="35">
        <v>4.0999999999999996</v>
      </c>
      <c r="R72" s="15" t="s">
        <v>56</v>
      </c>
      <c r="S72" s="35">
        <v>4.8</v>
      </c>
      <c r="T72" s="15" t="s">
        <v>56</v>
      </c>
      <c r="U72" s="35">
        <v>4.71</v>
      </c>
      <c r="V72" s="15" t="s">
        <v>56</v>
      </c>
      <c r="W72" s="34">
        <v>5.87</v>
      </c>
      <c r="X72" s="15" t="s">
        <v>56</v>
      </c>
      <c r="Y72" s="49">
        <v>7.02</v>
      </c>
      <c r="Z72" s="15" t="s">
        <v>56</v>
      </c>
      <c r="AA72" s="34">
        <v>8.23</v>
      </c>
      <c r="AB72" s="15" t="s">
        <v>56</v>
      </c>
      <c r="AC72" s="61">
        <v>8.19</v>
      </c>
      <c r="AD72" s="60" t="s">
        <v>56</v>
      </c>
      <c r="AE72" s="64">
        <v>9.3000000000000007</v>
      </c>
      <c r="AF72" s="60" t="s">
        <v>58</v>
      </c>
    </row>
    <row r="73" spans="1:32" ht="15.75" customHeight="1">
      <c r="A73" s="21">
        <v>69</v>
      </c>
      <c r="B73" s="21">
        <v>4.4000000000000004</v>
      </c>
      <c r="C73" s="21">
        <v>3.7</v>
      </c>
      <c r="E73">
        <v>3.4</v>
      </c>
      <c r="G73">
        <v>4.0999999999999996</v>
      </c>
      <c r="H73" s="21" t="s">
        <v>56</v>
      </c>
      <c r="I73" s="33">
        <v>4</v>
      </c>
      <c r="J73" s="15" t="s">
        <v>56</v>
      </c>
      <c r="K73" s="34">
        <v>4.0999999999999996</v>
      </c>
      <c r="L73" s="15" t="s">
        <v>56</v>
      </c>
      <c r="M73" s="35">
        <v>4.7</v>
      </c>
      <c r="N73" s="15" t="s">
        <v>56</v>
      </c>
      <c r="O73" s="35">
        <v>4.7</v>
      </c>
      <c r="P73" s="15" t="s">
        <v>56</v>
      </c>
      <c r="Q73" s="35">
        <v>4</v>
      </c>
      <c r="R73" s="15" t="s">
        <v>56</v>
      </c>
      <c r="S73" s="35">
        <v>5</v>
      </c>
      <c r="T73" s="15" t="s">
        <v>56</v>
      </c>
      <c r="U73" s="35">
        <v>4.99</v>
      </c>
      <c r="V73" s="15" t="s">
        <v>56</v>
      </c>
      <c r="W73" s="34">
        <v>5.64</v>
      </c>
      <c r="X73" s="15" t="s">
        <v>56</v>
      </c>
      <c r="Y73" s="49">
        <v>8.94</v>
      </c>
      <c r="Z73" s="15" t="s">
        <v>56</v>
      </c>
      <c r="AA73" s="52">
        <v>10.14</v>
      </c>
      <c r="AB73" s="15" t="s">
        <v>58</v>
      </c>
      <c r="AC73" s="63">
        <v>10.039999999999999</v>
      </c>
      <c r="AD73" s="60" t="s">
        <v>58</v>
      </c>
      <c r="AE73" s="65">
        <v>12.1</v>
      </c>
      <c r="AF73" s="60" t="s">
        <v>60</v>
      </c>
    </row>
    <row r="74" spans="1:32" ht="15.75" customHeight="1">
      <c r="A74" s="21">
        <v>70</v>
      </c>
      <c r="B74" s="21">
        <v>4.3</v>
      </c>
      <c r="C74" s="21">
        <v>3.8</v>
      </c>
      <c r="E74">
        <v>4.0999999999999996</v>
      </c>
      <c r="G74">
        <v>3.9</v>
      </c>
      <c r="H74" s="21" t="s">
        <v>56</v>
      </c>
      <c r="I74" s="33">
        <v>4</v>
      </c>
      <c r="J74" s="15" t="s">
        <v>56</v>
      </c>
      <c r="K74" s="34">
        <v>4.3</v>
      </c>
      <c r="L74" s="15" t="s">
        <v>56</v>
      </c>
      <c r="M74" s="35">
        <v>4.7</v>
      </c>
      <c r="N74" s="15" t="s">
        <v>56</v>
      </c>
      <c r="O74" s="35">
        <v>5.2</v>
      </c>
      <c r="P74" s="15" t="s">
        <v>56</v>
      </c>
      <c r="Q74" s="35">
        <v>5.4</v>
      </c>
      <c r="R74" s="15" t="s">
        <v>56</v>
      </c>
      <c r="S74" s="35">
        <v>5.4</v>
      </c>
      <c r="T74" s="15" t="s">
        <v>56</v>
      </c>
      <c r="U74" s="35">
        <v>4.71</v>
      </c>
      <c r="V74" s="15" t="s">
        <v>56</v>
      </c>
      <c r="W74" s="34">
        <v>5.8</v>
      </c>
      <c r="X74" s="15" t="s">
        <v>56</v>
      </c>
      <c r="Y74" s="49">
        <v>8.59</v>
      </c>
      <c r="Z74" s="15" t="s">
        <v>56</v>
      </c>
      <c r="AA74" s="52">
        <v>9.9700000000000006</v>
      </c>
      <c r="AB74" s="15" t="s">
        <v>58</v>
      </c>
      <c r="AC74" s="63">
        <v>9.75</v>
      </c>
      <c r="AD74" s="60" t="s">
        <v>58</v>
      </c>
      <c r="AE74" s="64">
        <v>11</v>
      </c>
      <c r="AF74" s="60" t="s">
        <v>58</v>
      </c>
    </row>
    <row r="75" spans="1:32" ht="15.75" customHeight="1">
      <c r="A75" s="21">
        <v>71</v>
      </c>
      <c r="B75" s="21">
        <v>4.7</v>
      </c>
      <c r="C75" s="21">
        <v>3.8</v>
      </c>
      <c r="E75">
        <v>3.9</v>
      </c>
      <c r="G75">
        <v>3.9</v>
      </c>
      <c r="H75" s="21" t="s">
        <v>56</v>
      </c>
      <c r="I75" s="33">
        <v>4.0999999999999996</v>
      </c>
      <c r="J75" s="15" t="s">
        <v>56</v>
      </c>
      <c r="K75" s="34">
        <v>4.4000000000000004</v>
      </c>
      <c r="L75" s="15" t="s">
        <v>56</v>
      </c>
      <c r="M75" s="35">
        <v>4.5999999999999996</v>
      </c>
      <c r="N75" s="15" t="s">
        <v>56</v>
      </c>
      <c r="O75" s="35">
        <v>4.7</v>
      </c>
      <c r="P75" s="15" t="s">
        <v>56</v>
      </c>
      <c r="Q75" s="35">
        <v>4.7</v>
      </c>
      <c r="R75" s="15" t="s">
        <v>56</v>
      </c>
      <c r="S75" s="35">
        <v>4.9000000000000004</v>
      </c>
      <c r="T75" s="15" t="s">
        <v>56</v>
      </c>
      <c r="U75" s="35">
        <v>5.53</v>
      </c>
      <c r="V75" s="15" t="s">
        <v>56</v>
      </c>
      <c r="W75" s="34">
        <v>5.56</v>
      </c>
      <c r="X75" s="15" t="s">
        <v>56</v>
      </c>
      <c r="Y75" s="58">
        <v>17.59</v>
      </c>
      <c r="Z75" s="15" t="s">
        <v>60</v>
      </c>
      <c r="AA75" s="53">
        <v>24.54</v>
      </c>
      <c r="AB75" s="15" t="s">
        <v>60</v>
      </c>
      <c r="AC75" s="53">
        <v>24.98</v>
      </c>
      <c r="AD75" s="60" t="s">
        <v>60</v>
      </c>
      <c r="AE75" s="65">
        <v>32.6</v>
      </c>
      <c r="AF75" s="60" t="s">
        <v>60</v>
      </c>
    </row>
    <row r="76" spans="1:32" ht="15.75" customHeight="1">
      <c r="A76" s="21">
        <v>72</v>
      </c>
      <c r="B76" s="21">
        <v>4.7</v>
      </c>
      <c r="C76" s="21">
        <v>4</v>
      </c>
      <c r="E76">
        <v>3.5</v>
      </c>
      <c r="G76">
        <v>4.0999999999999996</v>
      </c>
      <c r="H76" s="21" t="s">
        <v>56</v>
      </c>
      <c r="I76" s="33">
        <v>3.9</v>
      </c>
      <c r="J76" s="15" t="s">
        <v>56</v>
      </c>
      <c r="K76" s="34">
        <v>4.2</v>
      </c>
      <c r="L76" s="15" t="s">
        <v>56</v>
      </c>
      <c r="M76" s="35">
        <v>4.5999999999999996</v>
      </c>
      <c r="N76" s="15" t="s">
        <v>56</v>
      </c>
      <c r="O76" s="35">
        <v>4.8</v>
      </c>
      <c r="P76" s="15" t="s">
        <v>56</v>
      </c>
      <c r="Q76" s="35">
        <v>4.8</v>
      </c>
      <c r="R76" s="15" t="s">
        <v>56</v>
      </c>
      <c r="S76" s="35">
        <v>4.3</v>
      </c>
      <c r="T76" s="15" t="s">
        <v>56</v>
      </c>
      <c r="U76" s="35">
        <v>4.91</v>
      </c>
      <c r="V76" s="15" t="s">
        <v>56</v>
      </c>
      <c r="W76" s="34">
        <v>5.91</v>
      </c>
      <c r="X76" s="15" t="s">
        <v>56</v>
      </c>
      <c r="Y76" s="58">
        <v>12.49</v>
      </c>
      <c r="Z76" s="15" t="s">
        <v>60</v>
      </c>
      <c r="AA76" s="53">
        <v>15.75</v>
      </c>
      <c r="AB76" s="15" t="s">
        <v>60</v>
      </c>
      <c r="AC76" s="53">
        <v>17.47</v>
      </c>
      <c r="AD76" s="60" t="s">
        <v>60</v>
      </c>
      <c r="AE76" s="65">
        <v>19.899999999999999</v>
      </c>
      <c r="AF76" s="60" t="s">
        <v>60</v>
      </c>
    </row>
    <row r="77" spans="1:32" ht="15.75" customHeight="1">
      <c r="A77" s="21">
        <v>73</v>
      </c>
      <c r="B77" s="21">
        <v>4.5999999999999996</v>
      </c>
      <c r="C77" s="21">
        <v>4.2</v>
      </c>
      <c r="E77">
        <v>3.4</v>
      </c>
      <c r="G77">
        <v>4.4000000000000004</v>
      </c>
      <c r="H77" s="21" t="s">
        <v>56</v>
      </c>
      <c r="I77" s="33">
        <v>4</v>
      </c>
      <c r="J77" s="15" t="s">
        <v>56</v>
      </c>
      <c r="K77" s="34">
        <v>4.3</v>
      </c>
      <c r="L77" s="15" t="s">
        <v>56</v>
      </c>
      <c r="M77" s="35">
        <v>4.5</v>
      </c>
      <c r="N77" s="15" t="s">
        <v>56</v>
      </c>
      <c r="O77" s="35">
        <v>5</v>
      </c>
      <c r="P77" s="15" t="s">
        <v>56</v>
      </c>
      <c r="Q77" s="35">
        <v>5.8</v>
      </c>
      <c r="R77" s="15" t="s">
        <v>56</v>
      </c>
      <c r="S77" s="35">
        <v>5.4</v>
      </c>
      <c r="T77" s="15" t="s">
        <v>56</v>
      </c>
      <c r="U77" s="35">
        <v>4.83</v>
      </c>
      <c r="V77" s="15" t="s">
        <v>56</v>
      </c>
      <c r="W77" s="34">
        <v>5.71</v>
      </c>
      <c r="X77" s="15" t="s">
        <v>56</v>
      </c>
      <c r="Y77" s="56">
        <v>9.32</v>
      </c>
      <c r="Z77" s="15" t="s">
        <v>58</v>
      </c>
      <c r="AA77" s="52">
        <v>10.96</v>
      </c>
      <c r="AB77" s="15" t="s">
        <v>58</v>
      </c>
      <c r="AC77" s="63">
        <v>11.39</v>
      </c>
      <c r="AD77" s="60" t="s">
        <v>58</v>
      </c>
      <c r="AE77" s="65">
        <v>12.6</v>
      </c>
      <c r="AF77" s="60" t="s">
        <v>60</v>
      </c>
    </row>
    <row r="78" spans="1:32" ht="15.75" customHeight="1">
      <c r="A78" s="21">
        <v>74</v>
      </c>
      <c r="B78" s="21">
        <v>4.5999999999999996</v>
      </c>
      <c r="C78" s="21">
        <v>4</v>
      </c>
      <c r="E78">
        <v>3.4</v>
      </c>
      <c r="G78">
        <v>4.7</v>
      </c>
      <c r="H78" s="21" t="s">
        <v>56</v>
      </c>
      <c r="I78" s="33">
        <v>4.5</v>
      </c>
      <c r="J78" s="15" t="s">
        <v>56</v>
      </c>
      <c r="K78" s="34">
        <v>4.5999999999999996</v>
      </c>
      <c r="L78" s="15" t="s">
        <v>56</v>
      </c>
      <c r="M78" s="35">
        <v>4.7</v>
      </c>
      <c r="N78" s="15" t="s">
        <v>56</v>
      </c>
      <c r="O78" s="35">
        <v>4.5</v>
      </c>
      <c r="P78" s="15" t="s">
        <v>56</v>
      </c>
      <c r="Q78" s="35">
        <v>4.2</v>
      </c>
      <c r="R78" s="15" t="s">
        <v>56</v>
      </c>
      <c r="S78" s="35">
        <v>4.5</v>
      </c>
      <c r="T78" s="15" t="s">
        <v>56</v>
      </c>
      <c r="U78" s="35">
        <v>6.27</v>
      </c>
      <c r="V78" s="15" t="s">
        <v>56</v>
      </c>
      <c r="W78" s="34">
        <v>6.28</v>
      </c>
      <c r="X78" s="15" t="s">
        <v>56</v>
      </c>
      <c r="Y78" s="58">
        <v>17.309999999999999</v>
      </c>
      <c r="Z78" s="15" t="s">
        <v>60</v>
      </c>
      <c r="AA78" s="53">
        <v>9999</v>
      </c>
      <c r="AB78" s="15" t="s">
        <v>60</v>
      </c>
      <c r="AC78" s="53">
        <v>9999</v>
      </c>
      <c r="AD78" s="60" t="s">
        <v>58</v>
      </c>
      <c r="AE78" s="65">
        <v>9999</v>
      </c>
      <c r="AF78" s="60" t="s">
        <v>60</v>
      </c>
    </row>
    <row r="79" spans="1:32" ht="15.75" customHeight="1">
      <c r="A79" s="21">
        <v>75</v>
      </c>
      <c r="B79" s="21">
        <v>4.9000000000000004</v>
      </c>
      <c r="C79" s="21">
        <v>4.0999999999999996</v>
      </c>
      <c r="E79">
        <v>3.4</v>
      </c>
      <c r="G79">
        <v>3.7</v>
      </c>
      <c r="H79" s="21" t="s">
        <v>56</v>
      </c>
      <c r="I79" s="33">
        <v>4</v>
      </c>
      <c r="J79" s="15" t="s">
        <v>56</v>
      </c>
      <c r="K79" s="34">
        <v>4.3</v>
      </c>
      <c r="L79" s="15" t="s">
        <v>56</v>
      </c>
      <c r="M79" s="35">
        <v>4.4000000000000004</v>
      </c>
      <c r="N79" s="15" t="s">
        <v>56</v>
      </c>
      <c r="O79" s="35">
        <v>4.3</v>
      </c>
      <c r="P79" s="15" t="s">
        <v>56</v>
      </c>
      <c r="Q79" s="35">
        <v>4.3</v>
      </c>
      <c r="R79" s="15" t="s">
        <v>56</v>
      </c>
      <c r="S79" s="35">
        <v>4.0999999999999996</v>
      </c>
      <c r="T79" s="15" t="s">
        <v>56</v>
      </c>
      <c r="U79" s="35">
        <v>4.84</v>
      </c>
      <c r="V79" s="15" t="s">
        <v>56</v>
      </c>
      <c r="W79" s="34">
        <v>5.83</v>
      </c>
      <c r="X79" s="15" t="s">
        <v>56</v>
      </c>
      <c r="Y79" s="49">
        <v>7.27</v>
      </c>
      <c r="Z79" s="15" t="s">
        <v>56</v>
      </c>
      <c r="AA79" s="66">
        <v>8.18</v>
      </c>
      <c r="AB79" s="15" t="s">
        <v>56</v>
      </c>
      <c r="AC79" s="61">
        <v>8.02</v>
      </c>
      <c r="AD79" s="60" t="s">
        <v>56</v>
      </c>
      <c r="AE79" s="64">
        <v>9.5</v>
      </c>
      <c r="AF79" s="60" t="s">
        <v>58</v>
      </c>
    </row>
    <row r="80" spans="1:32" ht="15.75" customHeight="1">
      <c r="A80" s="21">
        <v>76</v>
      </c>
      <c r="B80" s="21">
        <v>4.7</v>
      </c>
      <c r="C80" s="21">
        <v>4</v>
      </c>
      <c r="E80">
        <v>3.3</v>
      </c>
      <c r="G80">
        <v>3.5</v>
      </c>
      <c r="H80" s="21" t="s">
        <v>56</v>
      </c>
      <c r="I80" s="33">
        <v>4.4000000000000004</v>
      </c>
      <c r="J80" s="15" t="s">
        <v>56</v>
      </c>
      <c r="K80" s="34">
        <v>4.4000000000000004</v>
      </c>
      <c r="L80" s="15" t="s">
        <v>56</v>
      </c>
      <c r="M80" s="35">
        <v>4.5</v>
      </c>
      <c r="N80" s="15" t="s">
        <v>56</v>
      </c>
      <c r="O80" s="35">
        <v>4.5999999999999996</v>
      </c>
      <c r="P80" s="15" t="s">
        <v>56</v>
      </c>
      <c r="Q80" s="35">
        <v>4.9000000000000004</v>
      </c>
      <c r="R80" s="15" t="s">
        <v>56</v>
      </c>
      <c r="S80" s="35">
        <v>4.8</v>
      </c>
      <c r="T80" s="15" t="s">
        <v>56</v>
      </c>
      <c r="U80" s="35">
        <v>4.37</v>
      </c>
      <c r="V80" s="15" t="s">
        <v>56</v>
      </c>
      <c r="W80" s="34">
        <v>5.44</v>
      </c>
      <c r="X80" s="15" t="s">
        <v>56</v>
      </c>
      <c r="Y80" s="49">
        <v>7.48</v>
      </c>
      <c r="Z80" s="15" t="s">
        <v>56</v>
      </c>
      <c r="AA80" s="66">
        <v>8.7799999999999994</v>
      </c>
      <c r="AB80" s="15" t="s">
        <v>56</v>
      </c>
      <c r="AC80" s="63">
        <v>9.4499999999999993</v>
      </c>
      <c r="AD80" s="60" t="s">
        <v>58</v>
      </c>
      <c r="AE80" s="64">
        <v>10.5</v>
      </c>
      <c r="AF80" s="60" t="s">
        <v>58</v>
      </c>
    </row>
    <row r="81" spans="1:32" ht="15.75" customHeight="1">
      <c r="A81" s="21">
        <v>77</v>
      </c>
      <c r="B81" s="21">
        <v>4.8</v>
      </c>
      <c r="C81" s="21">
        <v>3.8</v>
      </c>
      <c r="E81">
        <v>3.4</v>
      </c>
      <c r="G81">
        <v>4</v>
      </c>
      <c r="H81" s="21" t="s">
        <v>56</v>
      </c>
      <c r="I81" s="33">
        <v>4.3</v>
      </c>
      <c r="J81" s="15" t="s">
        <v>56</v>
      </c>
      <c r="K81" s="34">
        <v>4.3</v>
      </c>
      <c r="L81" s="15" t="s">
        <v>56</v>
      </c>
      <c r="M81" s="35">
        <v>4.5999999999999996</v>
      </c>
      <c r="N81" s="15" t="s">
        <v>56</v>
      </c>
      <c r="O81" s="35">
        <v>4.4000000000000004</v>
      </c>
      <c r="P81" s="15" t="s">
        <v>56</v>
      </c>
      <c r="Q81" s="35">
        <v>4.7</v>
      </c>
      <c r="R81" s="15" t="s">
        <v>56</v>
      </c>
      <c r="S81" s="35">
        <v>4.9000000000000004</v>
      </c>
      <c r="T81" s="15" t="s">
        <v>56</v>
      </c>
      <c r="U81" s="35">
        <v>4.5199999999999996</v>
      </c>
      <c r="V81" s="15" t="s">
        <v>56</v>
      </c>
      <c r="W81" s="34">
        <v>6.52</v>
      </c>
      <c r="X81" s="15" t="s">
        <v>56</v>
      </c>
      <c r="Y81" s="56">
        <v>10.19</v>
      </c>
      <c r="Z81" s="15" t="s">
        <v>58</v>
      </c>
      <c r="AA81" s="53">
        <v>12.51</v>
      </c>
      <c r="AB81" s="15" t="s">
        <v>60</v>
      </c>
      <c r="AC81" s="53">
        <v>13.2</v>
      </c>
      <c r="AD81" s="60" t="s">
        <v>60</v>
      </c>
      <c r="AE81" s="65">
        <v>15.3</v>
      </c>
      <c r="AF81" s="60" t="s">
        <v>60</v>
      </c>
    </row>
    <row r="82" spans="1:32" ht="15.75" customHeight="1">
      <c r="A82" s="21">
        <v>78</v>
      </c>
      <c r="B82" s="21">
        <v>4.9000000000000004</v>
      </c>
      <c r="C82" s="21">
        <v>3.6</v>
      </c>
      <c r="E82">
        <v>3.9</v>
      </c>
      <c r="G82">
        <v>4.4000000000000004</v>
      </c>
      <c r="H82" s="21" t="s">
        <v>56</v>
      </c>
      <c r="I82" s="33">
        <v>4.0999999999999996</v>
      </c>
      <c r="J82" s="15" t="s">
        <v>56</v>
      </c>
      <c r="K82" s="34">
        <v>4.4000000000000004</v>
      </c>
      <c r="L82" s="15" t="s">
        <v>56</v>
      </c>
      <c r="M82" s="35">
        <v>4.7</v>
      </c>
      <c r="N82" s="15" t="s">
        <v>56</v>
      </c>
      <c r="O82" s="35">
        <v>4.9000000000000004</v>
      </c>
      <c r="P82" s="15" t="s">
        <v>56</v>
      </c>
      <c r="Q82" s="35">
        <v>5</v>
      </c>
      <c r="R82" s="15" t="s">
        <v>56</v>
      </c>
      <c r="S82" s="35">
        <v>4.5</v>
      </c>
      <c r="T82" s="15" t="s">
        <v>56</v>
      </c>
      <c r="U82" s="35">
        <v>4.71</v>
      </c>
      <c r="V82" s="15" t="s">
        <v>56</v>
      </c>
      <c r="W82" s="34">
        <v>5.4</v>
      </c>
      <c r="X82" s="15" t="s">
        <v>56</v>
      </c>
      <c r="Y82" s="56">
        <v>11.31</v>
      </c>
      <c r="Z82" s="15" t="s">
        <v>58</v>
      </c>
      <c r="AA82" s="53">
        <v>14.67</v>
      </c>
      <c r="AB82" s="15" t="s">
        <v>60</v>
      </c>
      <c r="AC82" s="53">
        <v>15.33</v>
      </c>
      <c r="AD82" s="60" t="s">
        <v>60</v>
      </c>
      <c r="AE82" s="65">
        <v>18.600000000000001</v>
      </c>
      <c r="AF82" s="60" t="s">
        <v>60</v>
      </c>
    </row>
    <row r="83" spans="1:32" ht="15.75" customHeight="1">
      <c r="A83" s="21">
        <v>79</v>
      </c>
      <c r="B83" s="21">
        <v>4.4000000000000004</v>
      </c>
      <c r="C83" s="21">
        <v>3.3</v>
      </c>
      <c r="E83">
        <v>3.7</v>
      </c>
      <c r="G83">
        <v>4.0999999999999996</v>
      </c>
      <c r="H83" s="21" t="s">
        <v>56</v>
      </c>
      <c r="I83" s="33">
        <v>4.0999999999999996</v>
      </c>
      <c r="J83" s="15" t="s">
        <v>56</v>
      </c>
      <c r="K83" s="34">
        <v>4.3</v>
      </c>
      <c r="L83" s="15" t="s">
        <v>56</v>
      </c>
      <c r="M83" s="35">
        <v>4.5</v>
      </c>
      <c r="N83" s="15" t="s">
        <v>56</v>
      </c>
      <c r="O83" s="35">
        <v>4.4000000000000004</v>
      </c>
      <c r="P83" s="15" t="s">
        <v>56</v>
      </c>
      <c r="Q83" s="35">
        <v>4.4000000000000004</v>
      </c>
      <c r="R83" s="15" t="s">
        <v>56</v>
      </c>
      <c r="S83" s="35">
        <v>4.5</v>
      </c>
      <c r="T83" s="15" t="s">
        <v>56</v>
      </c>
      <c r="U83" s="35">
        <v>4.79</v>
      </c>
      <c r="V83" s="15" t="s">
        <v>56</v>
      </c>
      <c r="W83" s="34">
        <v>6.09</v>
      </c>
      <c r="X83" s="15" t="s">
        <v>56</v>
      </c>
      <c r="Y83" s="56">
        <v>9.59</v>
      </c>
      <c r="Z83" s="15" t="s">
        <v>58</v>
      </c>
      <c r="AA83" s="52">
        <v>11.07</v>
      </c>
      <c r="AB83" s="15" t="s">
        <v>58</v>
      </c>
      <c r="AC83" s="63">
        <v>10.9</v>
      </c>
      <c r="AD83" s="60" t="s">
        <v>58</v>
      </c>
      <c r="AE83" s="65">
        <v>12.7</v>
      </c>
      <c r="AF83" s="60" t="s">
        <v>60</v>
      </c>
    </row>
    <row r="84" spans="1:32" ht="15.75" customHeight="1">
      <c r="A84" s="21">
        <v>80</v>
      </c>
      <c r="B84" s="21">
        <v>4.2</v>
      </c>
      <c r="C84" s="21">
        <v>3.5</v>
      </c>
      <c r="E84">
        <v>3.7</v>
      </c>
      <c r="G84">
        <v>4</v>
      </c>
      <c r="H84" s="21" t="s">
        <v>56</v>
      </c>
      <c r="I84" s="33">
        <v>4.5</v>
      </c>
      <c r="J84" s="15" t="s">
        <v>56</v>
      </c>
      <c r="K84" s="34">
        <v>4.0999999999999996</v>
      </c>
      <c r="L84" s="15" t="s">
        <v>56</v>
      </c>
      <c r="M84" s="35">
        <v>4.3</v>
      </c>
      <c r="N84" s="15" t="s">
        <v>56</v>
      </c>
      <c r="O84" s="35">
        <v>4.7</v>
      </c>
      <c r="P84" s="15" t="s">
        <v>56</v>
      </c>
      <c r="Q84" s="35">
        <v>4.8</v>
      </c>
      <c r="R84" s="15" t="s">
        <v>56</v>
      </c>
      <c r="S84" s="35">
        <v>4.9000000000000004</v>
      </c>
      <c r="T84" s="15" t="s">
        <v>56</v>
      </c>
      <c r="U84" s="35">
        <v>4.7699999999999996</v>
      </c>
      <c r="V84" s="15" t="s">
        <v>56</v>
      </c>
      <c r="W84" s="34">
        <v>5.82</v>
      </c>
      <c r="X84" s="15" t="s">
        <v>56</v>
      </c>
      <c r="Y84" s="49">
        <v>8.69</v>
      </c>
      <c r="Z84" s="15" t="s">
        <v>56</v>
      </c>
      <c r="AA84" s="52">
        <v>10.24</v>
      </c>
      <c r="AB84" s="15" t="s">
        <v>58</v>
      </c>
      <c r="AC84" s="63">
        <v>10.55</v>
      </c>
      <c r="AD84" s="60" t="s">
        <v>58</v>
      </c>
      <c r="AE84" s="64">
        <v>11.7</v>
      </c>
      <c r="AF84" s="60" t="s">
        <v>58</v>
      </c>
    </row>
    <row r="85" spans="1:32" ht="15.75" customHeight="1">
      <c r="A85" s="21">
        <v>81</v>
      </c>
      <c r="B85" s="21">
        <v>4.0999999999999996</v>
      </c>
      <c r="C85" s="21">
        <v>4.0999999999999996</v>
      </c>
      <c r="E85">
        <v>4.0999999999999996</v>
      </c>
      <c r="G85">
        <v>3.9</v>
      </c>
      <c r="H85" s="21" t="s">
        <v>56</v>
      </c>
      <c r="I85" s="33">
        <v>4.0999999999999996</v>
      </c>
      <c r="J85" s="15" t="s">
        <v>56</v>
      </c>
      <c r="K85" s="34">
        <v>4.2</v>
      </c>
      <c r="L85" s="15" t="s">
        <v>56</v>
      </c>
      <c r="M85" s="35">
        <v>4.5999999999999996</v>
      </c>
      <c r="N85" s="15" t="s">
        <v>56</v>
      </c>
      <c r="O85" s="35">
        <v>4.5999999999999996</v>
      </c>
      <c r="P85" s="15" t="s">
        <v>56</v>
      </c>
      <c r="Q85" s="35">
        <v>4.7</v>
      </c>
      <c r="R85" s="15" t="s">
        <v>56</v>
      </c>
      <c r="S85" s="35">
        <v>4.7</v>
      </c>
      <c r="T85" s="15" t="s">
        <v>56</v>
      </c>
      <c r="U85" s="35">
        <v>4.93</v>
      </c>
      <c r="V85" s="15" t="s">
        <v>56</v>
      </c>
      <c r="W85" s="34">
        <v>6.65</v>
      </c>
      <c r="X85" s="15" t="s">
        <v>56</v>
      </c>
      <c r="Y85" s="56">
        <v>9.3699999999999992</v>
      </c>
      <c r="Z85" s="15" t="s">
        <v>58</v>
      </c>
      <c r="AA85" s="52">
        <v>11.3</v>
      </c>
      <c r="AB85" s="15" t="s">
        <v>58</v>
      </c>
      <c r="AC85" s="53">
        <v>12.24</v>
      </c>
      <c r="AD85" s="60" t="s">
        <v>60</v>
      </c>
      <c r="AE85" s="65">
        <v>91.3</v>
      </c>
      <c r="AF85" s="60" t="s">
        <v>60</v>
      </c>
    </row>
    <row r="86" spans="1:32" ht="15.75" customHeight="1">
      <c r="A86" s="21">
        <v>82</v>
      </c>
      <c r="B86" s="21">
        <v>4.9000000000000004</v>
      </c>
      <c r="C86" s="21">
        <v>4</v>
      </c>
      <c r="E86">
        <v>3.7</v>
      </c>
      <c r="G86">
        <v>4.5</v>
      </c>
      <c r="H86" s="21" t="s">
        <v>56</v>
      </c>
      <c r="I86" s="33">
        <v>4.0999999999999996</v>
      </c>
      <c r="J86" s="15" t="s">
        <v>56</v>
      </c>
      <c r="K86" s="34">
        <v>4</v>
      </c>
      <c r="L86" s="15" t="s">
        <v>56</v>
      </c>
      <c r="M86" s="35">
        <v>4.5999999999999996</v>
      </c>
      <c r="N86" s="15" t="s">
        <v>56</v>
      </c>
      <c r="O86" s="35">
        <v>4.8</v>
      </c>
      <c r="P86" s="15" t="s">
        <v>56</v>
      </c>
      <c r="Q86" s="35">
        <v>5</v>
      </c>
      <c r="R86" s="15" t="s">
        <v>56</v>
      </c>
      <c r="S86" s="35">
        <v>5</v>
      </c>
      <c r="T86" s="15" t="s">
        <v>56</v>
      </c>
      <c r="U86" s="35">
        <v>4.91</v>
      </c>
      <c r="V86" s="15" t="s">
        <v>56</v>
      </c>
      <c r="W86" s="34">
        <v>6.94</v>
      </c>
      <c r="X86" s="15" t="s">
        <v>56</v>
      </c>
      <c r="Y86" s="56">
        <v>9.1300000000000008</v>
      </c>
      <c r="Z86" s="15" t="s">
        <v>58</v>
      </c>
      <c r="AA86" s="52">
        <v>10.69</v>
      </c>
      <c r="AB86" s="15" t="s">
        <v>58</v>
      </c>
      <c r="AC86" s="63">
        <v>11.57</v>
      </c>
      <c r="AD86" s="60" t="s">
        <v>58</v>
      </c>
      <c r="AE86" s="65">
        <v>13.1</v>
      </c>
      <c r="AF86" s="60" t="s">
        <v>60</v>
      </c>
    </row>
    <row r="87" spans="1:32" ht="15.75" customHeight="1">
      <c r="A87" s="21">
        <v>83</v>
      </c>
      <c r="B87" s="21">
        <v>4.5</v>
      </c>
      <c r="C87" s="21">
        <v>3.9</v>
      </c>
      <c r="E87">
        <v>3.6</v>
      </c>
      <c r="G87">
        <v>4</v>
      </c>
      <c r="H87" s="21" t="s">
        <v>56</v>
      </c>
      <c r="I87" s="33">
        <v>4.3</v>
      </c>
      <c r="J87" s="15" t="s">
        <v>56</v>
      </c>
      <c r="K87" s="34">
        <v>3.9</v>
      </c>
      <c r="L87" s="15" t="s">
        <v>56</v>
      </c>
      <c r="M87" s="35">
        <v>4.7</v>
      </c>
      <c r="N87" s="15" t="s">
        <v>56</v>
      </c>
      <c r="O87" s="35">
        <v>5.3</v>
      </c>
      <c r="P87" s="15" t="s">
        <v>56</v>
      </c>
      <c r="Q87" s="35">
        <v>5.8</v>
      </c>
      <c r="R87" s="15" t="s">
        <v>56</v>
      </c>
      <c r="S87" s="35">
        <v>5.4</v>
      </c>
      <c r="T87" s="15" t="s">
        <v>56</v>
      </c>
      <c r="U87" s="35">
        <v>5.18</v>
      </c>
      <c r="V87" s="15" t="s">
        <v>56</v>
      </c>
      <c r="W87" s="34">
        <v>5.91</v>
      </c>
      <c r="X87" s="15" t="s">
        <v>56</v>
      </c>
      <c r="Y87" s="58">
        <v>12.85</v>
      </c>
      <c r="Z87" s="15" t="s">
        <v>60</v>
      </c>
      <c r="AA87" s="53">
        <v>16.03</v>
      </c>
      <c r="AB87" s="15" t="s">
        <v>60</v>
      </c>
      <c r="AC87" s="53">
        <v>18.02</v>
      </c>
      <c r="AD87" s="60" t="s">
        <v>60</v>
      </c>
      <c r="AE87" s="65">
        <v>20.9</v>
      </c>
      <c r="AF87" s="60" t="s">
        <v>60</v>
      </c>
    </row>
    <row r="88" spans="1:32" ht="15.75" customHeight="1">
      <c r="A88" s="21">
        <v>84</v>
      </c>
      <c r="B88" s="21">
        <v>4.7</v>
      </c>
      <c r="C88" s="21">
        <v>3.5</v>
      </c>
      <c r="E88">
        <v>3.7</v>
      </c>
      <c r="G88">
        <v>4.2</v>
      </c>
      <c r="H88" s="21" t="s">
        <v>56</v>
      </c>
      <c r="I88" s="33">
        <v>3.9</v>
      </c>
      <c r="J88" s="15" t="s">
        <v>56</v>
      </c>
      <c r="K88" s="34">
        <v>4.7</v>
      </c>
      <c r="L88" s="15" t="s">
        <v>56</v>
      </c>
      <c r="M88" s="35">
        <v>5.2</v>
      </c>
      <c r="N88" s="15" t="s">
        <v>56</v>
      </c>
      <c r="O88" s="35">
        <v>4.7</v>
      </c>
      <c r="P88" s="15" t="s">
        <v>56</v>
      </c>
      <c r="Q88" s="35">
        <v>4.8</v>
      </c>
      <c r="R88" s="15" t="s">
        <v>56</v>
      </c>
      <c r="S88" s="35">
        <v>5.8</v>
      </c>
      <c r="T88" s="15" t="s">
        <v>56</v>
      </c>
      <c r="U88" s="35">
        <v>5.8</v>
      </c>
      <c r="V88" s="15" t="s">
        <v>56</v>
      </c>
      <c r="W88" s="34">
        <v>6.56</v>
      </c>
      <c r="X88" s="15" t="s">
        <v>56</v>
      </c>
      <c r="Y88" s="58">
        <v>9999</v>
      </c>
      <c r="Z88" s="15" t="s">
        <v>60</v>
      </c>
      <c r="AA88" s="53">
        <v>9999</v>
      </c>
      <c r="AB88" s="15" t="s">
        <v>60</v>
      </c>
      <c r="AC88" s="53">
        <v>9999</v>
      </c>
      <c r="AD88" s="60" t="s">
        <v>60</v>
      </c>
      <c r="AE88" s="65">
        <v>9999</v>
      </c>
      <c r="AF88" s="60" t="s">
        <v>60</v>
      </c>
    </row>
    <row r="89" spans="1:32" ht="15.75" customHeight="1">
      <c r="A89" s="21">
        <v>85</v>
      </c>
      <c r="B89" s="21">
        <v>4.5</v>
      </c>
      <c r="C89" s="21">
        <v>3.6</v>
      </c>
      <c r="E89">
        <v>3.4</v>
      </c>
      <c r="G89">
        <v>3.9</v>
      </c>
      <c r="H89" s="21" t="s">
        <v>56</v>
      </c>
      <c r="I89" s="33">
        <v>4.7</v>
      </c>
      <c r="J89" s="15" t="s">
        <v>56</v>
      </c>
      <c r="K89" s="34">
        <v>4.3</v>
      </c>
      <c r="L89" s="15" t="s">
        <v>56</v>
      </c>
      <c r="M89" s="35">
        <v>4.5999999999999996</v>
      </c>
      <c r="N89" s="15" t="s">
        <v>56</v>
      </c>
      <c r="O89" s="35">
        <v>9.4</v>
      </c>
      <c r="P89" s="15" t="s">
        <v>56</v>
      </c>
      <c r="Q89" s="54">
        <v>11.4</v>
      </c>
      <c r="R89" s="15" t="s">
        <v>58</v>
      </c>
      <c r="S89" s="35">
        <v>5.0999999999999996</v>
      </c>
      <c r="T89" s="15" t="s">
        <v>56</v>
      </c>
      <c r="U89" s="35">
        <v>4.92</v>
      </c>
      <c r="V89" s="15" t="s">
        <v>56</v>
      </c>
      <c r="W89" s="34">
        <v>7.68</v>
      </c>
      <c r="X89" s="15" t="s">
        <v>56</v>
      </c>
      <c r="Y89" s="56">
        <v>9.5399999999999991</v>
      </c>
      <c r="Z89" s="15" t="s">
        <v>58</v>
      </c>
      <c r="AA89" s="52">
        <v>11.05</v>
      </c>
      <c r="AB89" s="15" t="s">
        <v>58</v>
      </c>
      <c r="AC89" s="53">
        <v>12.15</v>
      </c>
      <c r="AD89" s="60" t="s">
        <v>60</v>
      </c>
      <c r="AE89" s="65">
        <v>14.4</v>
      </c>
      <c r="AF89" s="60" t="s">
        <v>60</v>
      </c>
    </row>
    <row r="90" spans="1:32" ht="15.75" customHeight="1">
      <c r="A90" s="21">
        <v>86</v>
      </c>
      <c r="B90" s="21">
        <v>4.7</v>
      </c>
      <c r="C90" s="21">
        <v>3.6</v>
      </c>
      <c r="E90">
        <v>3.3</v>
      </c>
      <c r="G90">
        <v>3.9</v>
      </c>
      <c r="H90" s="21" t="s">
        <v>56</v>
      </c>
      <c r="I90" s="33">
        <v>3.6</v>
      </c>
      <c r="J90" s="15" t="s">
        <v>56</v>
      </c>
      <c r="K90" s="34">
        <v>5.0999999999999996</v>
      </c>
      <c r="L90" s="15" t="s">
        <v>56</v>
      </c>
      <c r="M90" s="35">
        <v>8.6999999999999993</v>
      </c>
      <c r="N90" s="15" t="s">
        <v>56</v>
      </c>
      <c r="O90" s="35">
        <v>4.7</v>
      </c>
      <c r="P90" s="15" t="s">
        <v>56</v>
      </c>
      <c r="Q90" s="35">
        <v>5</v>
      </c>
      <c r="R90" s="15" t="s">
        <v>56</v>
      </c>
      <c r="S90" s="45">
        <v>12.8</v>
      </c>
      <c r="T90" s="15" t="s">
        <v>60</v>
      </c>
      <c r="U90" s="45">
        <v>16.09</v>
      </c>
      <c r="V90" s="15" t="s">
        <v>60</v>
      </c>
      <c r="W90" s="34">
        <v>6.52</v>
      </c>
      <c r="X90" s="15" t="s">
        <v>56</v>
      </c>
      <c r="Y90" s="49">
        <v>4.04</v>
      </c>
      <c r="Z90" s="15" t="s">
        <v>56</v>
      </c>
      <c r="AA90" s="34">
        <v>5.17</v>
      </c>
      <c r="AB90" s="15" t="s">
        <v>56</v>
      </c>
      <c r="AC90" s="61">
        <v>4.83</v>
      </c>
      <c r="AD90" s="60" t="s">
        <v>56</v>
      </c>
      <c r="AE90" s="37">
        <v>4.8</v>
      </c>
      <c r="AF90" s="60" t="s">
        <v>56</v>
      </c>
    </row>
    <row r="91" spans="1:32" ht="15.75" customHeight="1">
      <c r="A91" s="21">
        <v>87</v>
      </c>
      <c r="B91" s="21">
        <v>4.5999999999999996</v>
      </c>
      <c r="C91" s="21">
        <v>3.8</v>
      </c>
      <c r="E91">
        <v>3.8</v>
      </c>
      <c r="G91">
        <v>3.6</v>
      </c>
      <c r="H91" s="21" t="s">
        <v>56</v>
      </c>
      <c r="I91" s="33">
        <v>4</v>
      </c>
      <c r="J91" s="15" t="s">
        <v>56</v>
      </c>
      <c r="K91" s="34">
        <v>4.3</v>
      </c>
      <c r="L91" s="15" t="s">
        <v>56</v>
      </c>
      <c r="M91" s="35">
        <v>4.5999999999999996</v>
      </c>
      <c r="N91" s="15" t="s">
        <v>56</v>
      </c>
      <c r="O91" s="35">
        <v>4.5999999999999996</v>
      </c>
      <c r="P91" s="15" t="s">
        <v>56</v>
      </c>
      <c r="Q91" s="35">
        <v>4.8</v>
      </c>
      <c r="R91" s="15" t="s">
        <v>56</v>
      </c>
      <c r="S91" s="35">
        <v>4.3</v>
      </c>
      <c r="T91" s="15" t="s">
        <v>56</v>
      </c>
      <c r="U91" s="35">
        <v>4.9400000000000004</v>
      </c>
      <c r="V91" s="15" t="s">
        <v>56</v>
      </c>
      <c r="W91" s="34">
        <v>6.36</v>
      </c>
      <c r="X91" s="15" t="s">
        <v>56</v>
      </c>
      <c r="Y91" s="56">
        <v>10.38</v>
      </c>
      <c r="Z91" s="15" t="s">
        <v>58</v>
      </c>
      <c r="AA91" s="53">
        <v>12.63</v>
      </c>
      <c r="AB91" s="15" t="s">
        <v>60</v>
      </c>
      <c r="AC91" s="53">
        <v>13.72</v>
      </c>
      <c r="AD91" s="60" t="s">
        <v>60</v>
      </c>
      <c r="AE91" s="65">
        <v>16.2</v>
      </c>
      <c r="AF91" s="60" t="s">
        <v>60</v>
      </c>
    </row>
    <row r="92" spans="1:32" ht="15.75" customHeight="1">
      <c r="A92" s="21">
        <v>88</v>
      </c>
      <c r="B92" s="21">
        <v>4.5</v>
      </c>
      <c r="C92" s="21">
        <v>3.2</v>
      </c>
      <c r="E92">
        <v>3.9</v>
      </c>
      <c r="G92">
        <v>4.2</v>
      </c>
      <c r="H92" s="21" t="s">
        <v>56</v>
      </c>
      <c r="I92" s="33">
        <v>4.2</v>
      </c>
      <c r="J92" s="15" t="s">
        <v>56</v>
      </c>
      <c r="K92" s="34">
        <v>4.5</v>
      </c>
      <c r="L92" s="15" t="s">
        <v>56</v>
      </c>
      <c r="M92" s="35">
        <v>4.5999999999999996</v>
      </c>
      <c r="N92" s="15" t="s">
        <v>56</v>
      </c>
      <c r="O92" s="35">
        <v>4.9000000000000004</v>
      </c>
      <c r="P92" s="15" t="s">
        <v>56</v>
      </c>
      <c r="Q92" s="35">
        <v>5.0999999999999996</v>
      </c>
      <c r="R92" s="15" t="s">
        <v>56</v>
      </c>
      <c r="S92" s="35">
        <v>4.4000000000000004</v>
      </c>
      <c r="T92" s="15" t="s">
        <v>56</v>
      </c>
      <c r="U92" s="35">
        <v>5.27</v>
      </c>
      <c r="V92" s="15" t="s">
        <v>56</v>
      </c>
      <c r="W92" s="52">
        <v>9.64</v>
      </c>
      <c r="X92" s="15" t="s">
        <v>58</v>
      </c>
      <c r="Y92" s="56">
        <v>11.73</v>
      </c>
      <c r="Z92" s="15" t="s">
        <v>58</v>
      </c>
      <c r="AA92" s="53">
        <v>15.45</v>
      </c>
      <c r="AB92" s="15" t="s">
        <v>60</v>
      </c>
      <c r="AC92" s="53">
        <v>18</v>
      </c>
      <c r="AD92" s="60" t="s">
        <v>60</v>
      </c>
      <c r="AE92" s="65">
        <v>21.2</v>
      </c>
      <c r="AF92" s="60" t="s">
        <v>60</v>
      </c>
    </row>
    <row r="93" spans="1:32" ht="15.75" customHeight="1">
      <c r="A93" s="21">
        <v>89</v>
      </c>
      <c r="B93" s="21">
        <v>4.7</v>
      </c>
      <c r="C93" s="21">
        <v>3.9</v>
      </c>
      <c r="E93">
        <v>4.2</v>
      </c>
      <c r="G93">
        <v>4</v>
      </c>
      <c r="H93" s="21" t="s">
        <v>56</v>
      </c>
      <c r="I93" s="33">
        <v>4.2</v>
      </c>
      <c r="J93" s="15" t="s">
        <v>56</v>
      </c>
      <c r="K93" s="34">
        <v>4.5999999999999996</v>
      </c>
      <c r="L93" s="15" t="s">
        <v>56</v>
      </c>
      <c r="M93" s="35">
        <v>4.8</v>
      </c>
      <c r="N93" s="15" t="s">
        <v>56</v>
      </c>
      <c r="O93" s="35">
        <v>4.7</v>
      </c>
      <c r="P93" s="15" t="s">
        <v>56</v>
      </c>
      <c r="Q93" s="35">
        <v>4.7</v>
      </c>
      <c r="R93" s="15" t="s">
        <v>56</v>
      </c>
      <c r="S93" s="35">
        <v>4.5</v>
      </c>
      <c r="T93" s="15" t="s">
        <v>56</v>
      </c>
      <c r="U93" s="35">
        <v>5.37</v>
      </c>
      <c r="V93" s="15" t="s">
        <v>56</v>
      </c>
      <c r="W93" s="34">
        <v>6.61</v>
      </c>
      <c r="X93" s="15" t="s">
        <v>56</v>
      </c>
      <c r="Y93" s="56">
        <v>11.85</v>
      </c>
      <c r="Z93" s="15" t="s">
        <v>58</v>
      </c>
      <c r="AA93" s="53">
        <v>14.02</v>
      </c>
      <c r="AB93" s="15" t="s">
        <v>60</v>
      </c>
      <c r="AC93" s="53">
        <v>14.91</v>
      </c>
      <c r="AD93" s="60" t="s">
        <v>60</v>
      </c>
      <c r="AE93" s="65">
        <v>17.100000000000001</v>
      </c>
      <c r="AF93" s="60" t="s">
        <v>60</v>
      </c>
    </row>
    <row r="94" spans="1:32" ht="15.75" customHeight="1">
      <c r="A94" s="21">
        <v>90</v>
      </c>
      <c r="B94" s="21">
        <v>4.7</v>
      </c>
      <c r="C94" s="21">
        <v>3.9</v>
      </c>
      <c r="E94">
        <v>3.4</v>
      </c>
      <c r="G94">
        <v>4.2</v>
      </c>
      <c r="H94" s="21" t="s">
        <v>56</v>
      </c>
      <c r="I94" s="33">
        <v>4.3</v>
      </c>
      <c r="J94" s="15" t="s">
        <v>56</v>
      </c>
      <c r="K94" s="34">
        <v>3.6</v>
      </c>
      <c r="L94" s="15" t="s">
        <v>56</v>
      </c>
      <c r="M94" s="35">
        <v>4.5</v>
      </c>
      <c r="N94" s="15" t="s">
        <v>56</v>
      </c>
      <c r="O94" s="35">
        <v>5.0999999999999996</v>
      </c>
      <c r="P94" s="15" t="s">
        <v>56</v>
      </c>
      <c r="Q94" s="35">
        <v>5.4</v>
      </c>
      <c r="R94" s="15" t="s">
        <v>56</v>
      </c>
      <c r="S94" s="35">
        <v>4.2</v>
      </c>
      <c r="T94" s="15" t="s">
        <v>56</v>
      </c>
      <c r="U94" s="35">
        <v>4.2699999999999996</v>
      </c>
      <c r="V94" s="15" t="s">
        <v>56</v>
      </c>
      <c r="W94" s="34">
        <v>6.05</v>
      </c>
      <c r="X94" s="15" t="s">
        <v>56</v>
      </c>
      <c r="Y94" s="49">
        <v>8.56</v>
      </c>
      <c r="Z94" s="15" t="s">
        <v>56</v>
      </c>
      <c r="AA94" s="52">
        <v>10.71</v>
      </c>
      <c r="AB94" s="15" t="s">
        <v>58</v>
      </c>
      <c r="AC94" s="63">
        <v>11.03</v>
      </c>
      <c r="AD94" s="60" t="s">
        <v>58</v>
      </c>
      <c r="AE94" s="65">
        <v>12.7</v>
      </c>
      <c r="AF94" s="60" t="s">
        <v>60</v>
      </c>
    </row>
    <row r="95" spans="1:32" ht="15.75" customHeight="1">
      <c r="A95" s="21">
        <v>91</v>
      </c>
      <c r="B95" s="21">
        <v>4.5999999999999996</v>
      </c>
      <c r="C95" s="21">
        <v>3.7</v>
      </c>
      <c r="E95">
        <v>4.0999999999999996</v>
      </c>
      <c r="G95">
        <v>3.8</v>
      </c>
      <c r="H95" s="21" t="s">
        <v>56</v>
      </c>
      <c r="I95" s="33">
        <v>4.3</v>
      </c>
      <c r="J95" s="15" t="s">
        <v>56</v>
      </c>
      <c r="K95" s="34">
        <v>4.5999999999999996</v>
      </c>
      <c r="L95" s="15" t="s">
        <v>56</v>
      </c>
      <c r="M95" s="35">
        <v>5.3</v>
      </c>
      <c r="N95" s="15" t="s">
        <v>56</v>
      </c>
      <c r="O95" s="35">
        <v>4.8</v>
      </c>
      <c r="P95" s="15" t="s">
        <v>56</v>
      </c>
      <c r="Q95" s="35">
        <v>5.0999999999999996</v>
      </c>
      <c r="R95" s="15" t="s">
        <v>56</v>
      </c>
      <c r="S95" s="35">
        <v>4.9000000000000004</v>
      </c>
      <c r="T95" s="15" t="s">
        <v>56</v>
      </c>
      <c r="U95" s="35">
        <v>5.85</v>
      </c>
      <c r="V95" s="15" t="s">
        <v>56</v>
      </c>
      <c r="W95" s="34">
        <v>6.26</v>
      </c>
      <c r="X95" s="15" t="s">
        <v>56</v>
      </c>
      <c r="Y95" s="58">
        <v>15.23</v>
      </c>
      <c r="Z95" s="15" t="s">
        <v>60</v>
      </c>
      <c r="AA95" s="53">
        <v>18.36</v>
      </c>
      <c r="AB95" s="15" t="s">
        <v>60</v>
      </c>
      <c r="AC95" s="53">
        <v>19.87</v>
      </c>
      <c r="AD95" s="60" t="s">
        <v>60</v>
      </c>
      <c r="AE95" s="65">
        <v>22.6</v>
      </c>
      <c r="AF95" s="60" t="s">
        <v>60</v>
      </c>
    </row>
    <row r="96" spans="1:32" ht="15.75" customHeight="1">
      <c r="A96" s="21">
        <v>92</v>
      </c>
      <c r="B96" s="21">
        <v>4.4000000000000004</v>
      </c>
      <c r="C96" s="21">
        <v>3.8</v>
      </c>
      <c r="E96">
        <v>3.7</v>
      </c>
      <c r="G96">
        <v>4.3</v>
      </c>
      <c r="H96" s="21" t="s">
        <v>56</v>
      </c>
      <c r="I96" s="33">
        <v>4.3</v>
      </c>
      <c r="J96" s="15" t="s">
        <v>56</v>
      </c>
      <c r="K96" s="34">
        <v>4.5999999999999996</v>
      </c>
      <c r="L96" s="15" t="s">
        <v>56</v>
      </c>
      <c r="M96" s="35">
        <v>5.0999999999999996</v>
      </c>
      <c r="N96" s="15" t="s">
        <v>56</v>
      </c>
      <c r="O96" s="35">
        <v>5.0999999999999996</v>
      </c>
      <c r="P96" s="15" t="s">
        <v>56</v>
      </c>
      <c r="Q96" s="35">
        <v>5.2</v>
      </c>
      <c r="R96" s="15" t="s">
        <v>56</v>
      </c>
      <c r="S96" s="35">
        <v>5.3</v>
      </c>
      <c r="T96" s="15" t="s">
        <v>56</v>
      </c>
      <c r="U96" s="35">
        <v>5.5</v>
      </c>
      <c r="V96" s="15" t="s">
        <v>56</v>
      </c>
      <c r="W96" s="34">
        <v>6.52</v>
      </c>
      <c r="X96" s="15" t="s">
        <v>56</v>
      </c>
      <c r="Y96" s="58">
        <v>13.61</v>
      </c>
      <c r="Z96" s="15" t="s">
        <v>60</v>
      </c>
      <c r="AA96" s="53">
        <v>16.71</v>
      </c>
      <c r="AB96" s="15" t="s">
        <v>60</v>
      </c>
      <c r="AC96" s="53">
        <v>18.57</v>
      </c>
      <c r="AD96" s="60" t="s">
        <v>60</v>
      </c>
      <c r="AE96" s="65">
        <v>21</v>
      </c>
      <c r="AF96" s="60" t="s">
        <v>60</v>
      </c>
    </row>
    <row r="97" spans="1:32" ht="15.75" customHeight="1">
      <c r="A97" s="21">
        <v>93</v>
      </c>
      <c r="B97" s="21">
        <v>4.7</v>
      </c>
      <c r="C97" s="21">
        <v>4</v>
      </c>
      <c r="E97">
        <v>3.4</v>
      </c>
      <c r="G97">
        <v>4.2</v>
      </c>
      <c r="H97" s="21" t="s">
        <v>56</v>
      </c>
      <c r="I97" s="33">
        <v>4.5</v>
      </c>
      <c r="J97" s="15" t="s">
        <v>56</v>
      </c>
      <c r="K97" s="34">
        <v>4.4000000000000004</v>
      </c>
      <c r="L97" s="15" t="s">
        <v>56</v>
      </c>
      <c r="M97" s="35">
        <v>4.9000000000000004</v>
      </c>
      <c r="N97" s="15" t="s">
        <v>56</v>
      </c>
      <c r="O97" s="35">
        <v>5.4</v>
      </c>
      <c r="P97" s="15" t="s">
        <v>56</v>
      </c>
      <c r="Q97" s="35">
        <v>5.8</v>
      </c>
      <c r="R97" s="15" t="s">
        <v>56</v>
      </c>
      <c r="S97" s="35">
        <v>5.3</v>
      </c>
      <c r="T97" s="15" t="s">
        <v>56</v>
      </c>
      <c r="U97" s="35">
        <v>5.75</v>
      </c>
      <c r="V97" s="15" t="s">
        <v>56</v>
      </c>
      <c r="W97" s="34">
        <v>6.63</v>
      </c>
      <c r="X97" s="15" t="s">
        <v>56</v>
      </c>
      <c r="Y97" s="58">
        <v>16.04</v>
      </c>
      <c r="Z97" s="15" t="s">
        <v>60</v>
      </c>
      <c r="AA97" s="53">
        <v>20.68</v>
      </c>
      <c r="AB97" s="15" t="s">
        <v>60</v>
      </c>
      <c r="AC97" s="53">
        <v>23.29</v>
      </c>
      <c r="AD97" s="60" t="s">
        <v>60</v>
      </c>
      <c r="AE97" s="65">
        <v>29.5</v>
      </c>
      <c r="AF97" s="60" t="s">
        <v>60</v>
      </c>
    </row>
    <row r="98" spans="1:32" ht="15.75" customHeight="1">
      <c r="A98" s="21">
        <v>94</v>
      </c>
      <c r="B98" s="21">
        <v>4.5999999999999996</v>
      </c>
      <c r="C98" s="21">
        <v>4.5</v>
      </c>
      <c r="E98">
        <v>4.3</v>
      </c>
      <c r="G98">
        <v>4</v>
      </c>
      <c r="H98" s="21" t="s">
        <v>56</v>
      </c>
      <c r="I98" s="33">
        <v>5.6</v>
      </c>
      <c r="J98" s="15" t="s">
        <v>56</v>
      </c>
      <c r="K98" s="34">
        <v>4.5999999999999996</v>
      </c>
      <c r="L98" s="15" t="s">
        <v>56</v>
      </c>
      <c r="M98" s="35">
        <v>4.9000000000000004</v>
      </c>
      <c r="N98" s="15" t="s">
        <v>56</v>
      </c>
      <c r="O98" s="35">
        <v>6.1</v>
      </c>
      <c r="P98" s="15" t="s">
        <v>56</v>
      </c>
      <c r="Q98" s="35">
        <v>6.3</v>
      </c>
      <c r="R98" s="15" t="s">
        <v>56</v>
      </c>
      <c r="S98" s="35">
        <v>5.6</v>
      </c>
      <c r="T98" s="15" t="s">
        <v>56</v>
      </c>
      <c r="U98" s="35">
        <v>5.97</v>
      </c>
      <c r="V98" s="15" t="s">
        <v>56</v>
      </c>
      <c r="W98" s="34">
        <v>6.42</v>
      </c>
      <c r="X98" s="15" t="s">
        <v>56</v>
      </c>
      <c r="Y98" s="58">
        <v>16.34</v>
      </c>
      <c r="Z98" s="15" t="s">
        <v>60</v>
      </c>
      <c r="AA98" s="53">
        <v>21.1</v>
      </c>
      <c r="AB98" s="15" t="s">
        <v>60</v>
      </c>
      <c r="AC98" s="53">
        <v>22.75</v>
      </c>
      <c r="AD98" s="60" t="s">
        <v>60</v>
      </c>
      <c r="AE98" s="65">
        <v>26.4</v>
      </c>
      <c r="AF98" s="60" t="s">
        <v>60</v>
      </c>
    </row>
    <row r="99" spans="1:32" ht="15.75" customHeight="1">
      <c r="A99" s="23">
        <v>95</v>
      </c>
      <c r="B99" s="23">
        <v>55.5</v>
      </c>
      <c r="C99" s="21">
        <v>3.8</v>
      </c>
      <c r="D99" s="39" t="s">
        <v>144</v>
      </c>
      <c r="E99">
        <v>3.4</v>
      </c>
      <c r="G99">
        <v>5.4</v>
      </c>
      <c r="H99" s="21" t="s">
        <v>56</v>
      </c>
      <c r="I99" s="33">
        <v>4</v>
      </c>
      <c r="J99" s="15" t="s">
        <v>56</v>
      </c>
      <c r="K99" s="34">
        <v>6.7</v>
      </c>
      <c r="L99" s="15" t="s">
        <v>56</v>
      </c>
      <c r="M99" s="35">
        <v>6.2</v>
      </c>
      <c r="N99" s="15" t="s">
        <v>56</v>
      </c>
      <c r="O99" s="35">
        <v>4.8</v>
      </c>
      <c r="P99" s="15" t="s">
        <v>56</v>
      </c>
      <c r="Q99" s="35">
        <v>4.7</v>
      </c>
      <c r="R99" s="15" t="s">
        <v>56</v>
      </c>
      <c r="S99" s="35">
        <v>6.9</v>
      </c>
      <c r="T99" s="15" t="s">
        <v>56</v>
      </c>
      <c r="U99" s="35">
        <v>6.77</v>
      </c>
      <c r="V99" s="15" t="s">
        <v>56</v>
      </c>
      <c r="W99" s="34">
        <v>6</v>
      </c>
      <c r="X99" s="15" t="s">
        <v>56</v>
      </c>
      <c r="Y99" s="58">
        <v>16.809999999999999</v>
      </c>
      <c r="Z99" s="15" t="s">
        <v>60</v>
      </c>
      <c r="AA99" s="53">
        <v>19.63</v>
      </c>
      <c r="AB99" s="15" t="s">
        <v>60</v>
      </c>
      <c r="AC99" s="53">
        <v>21.22</v>
      </c>
      <c r="AD99" s="60" t="s">
        <v>60</v>
      </c>
      <c r="AE99" s="65">
        <v>23.5</v>
      </c>
      <c r="AF99" s="60" t="s">
        <v>60</v>
      </c>
    </row>
    <row r="100" spans="1:32" ht="15.75" customHeight="1">
      <c r="A100" s="21">
        <v>96</v>
      </c>
      <c r="B100" s="21">
        <v>4.5999999999999996</v>
      </c>
      <c r="C100" s="32">
        <v>3.7</v>
      </c>
      <c r="E100">
        <v>3.5</v>
      </c>
      <c r="G100">
        <v>3.8</v>
      </c>
      <c r="H100" s="21" t="s">
        <v>56</v>
      </c>
      <c r="I100" s="33">
        <v>3.7</v>
      </c>
      <c r="J100" s="15" t="s">
        <v>56</v>
      </c>
      <c r="K100" s="34">
        <v>4.0999999999999996</v>
      </c>
      <c r="L100" s="15" t="s">
        <v>56</v>
      </c>
      <c r="M100" s="35">
        <v>4.8</v>
      </c>
      <c r="N100" s="15" t="s">
        <v>56</v>
      </c>
      <c r="O100" s="35">
        <v>5.0999999999999996</v>
      </c>
      <c r="P100" s="15" t="s">
        <v>56</v>
      </c>
      <c r="Q100" s="35">
        <v>4.9000000000000004</v>
      </c>
      <c r="R100" s="15" t="s">
        <v>56</v>
      </c>
      <c r="S100" s="35">
        <v>4.5999999999999996</v>
      </c>
      <c r="T100" s="15" t="s">
        <v>56</v>
      </c>
      <c r="U100" s="35">
        <v>4.75</v>
      </c>
      <c r="V100" s="15" t="s">
        <v>56</v>
      </c>
      <c r="W100" s="34">
        <v>6.81</v>
      </c>
      <c r="X100" s="15" t="s">
        <v>56</v>
      </c>
      <c r="Y100" s="49">
        <v>8.84</v>
      </c>
      <c r="Z100" s="15" t="s">
        <v>56</v>
      </c>
      <c r="AA100" s="52">
        <v>10.54</v>
      </c>
      <c r="AB100" s="15" t="s">
        <v>58</v>
      </c>
      <c r="AC100" s="63">
        <v>11.51</v>
      </c>
      <c r="AD100" s="60" t="s">
        <v>58</v>
      </c>
      <c r="AE100" s="65">
        <v>12.8</v>
      </c>
      <c r="AF100" s="60" t="s">
        <v>60</v>
      </c>
    </row>
    <row r="101" spans="1:32" ht="15.75" customHeight="1">
      <c r="A101" s="21">
        <v>97</v>
      </c>
      <c r="B101" s="21">
        <v>4.7</v>
      </c>
      <c r="C101" s="21">
        <v>3.8</v>
      </c>
      <c r="E101">
        <v>3.4</v>
      </c>
      <c r="G101">
        <v>4.4000000000000004</v>
      </c>
      <c r="H101" s="21" t="s">
        <v>56</v>
      </c>
      <c r="I101" s="33">
        <v>3.6</v>
      </c>
      <c r="J101" s="15" t="s">
        <v>56</v>
      </c>
      <c r="K101" s="34">
        <v>4.0999999999999996</v>
      </c>
      <c r="L101" s="15" t="s">
        <v>56</v>
      </c>
      <c r="M101" s="35">
        <v>4.7</v>
      </c>
      <c r="N101" s="15" t="s">
        <v>56</v>
      </c>
      <c r="O101" s="35">
        <v>4.8</v>
      </c>
      <c r="P101" s="15" t="s">
        <v>56</v>
      </c>
      <c r="Q101" s="35">
        <v>5.0999999999999996</v>
      </c>
      <c r="R101" s="15" t="s">
        <v>56</v>
      </c>
      <c r="S101" s="35">
        <v>4.5</v>
      </c>
      <c r="T101" s="15" t="s">
        <v>56</v>
      </c>
      <c r="U101" s="35">
        <v>5.18</v>
      </c>
      <c r="V101" s="15" t="s">
        <v>56</v>
      </c>
      <c r="W101" s="34">
        <v>5.72</v>
      </c>
      <c r="X101" s="15" t="s">
        <v>56</v>
      </c>
      <c r="Y101" s="56">
        <v>11.25</v>
      </c>
      <c r="Z101" s="15" t="s">
        <v>58</v>
      </c>
      <c r="AA101" s="53">
        <v>14.09</v>
      </c>
      <c r="AB101" s="15" t="s">
        <v>60</v>
      </c>
      <c r="AC101" s="53">
        <v>15.4</v>
      </c>
      <c r="AD101" s="60" t="s">
        <v>60</v>
      </c>
      <c r="AE101" s="65">
        <v>18</v>
      </c>
      <c r="AF101" s="60" t="s">
        <v>60</v>
      </c>
    </row>
    <row r="102" spans="1:32" ht="15.75" customHeight="1">
      <c r="A102" s="21">
        <v>98</v>
      </c>
      <c r="B102" s="21">
        <v>4.7</v>
      </c>
      <c r="C102" s="21">
        <v>4</v>
      </c>
      <c r="E102">
        <v>3.9</v>
      </c>
      <c r="G102">
        <v>4.2</v>
      </c>
      <c r="H102" s="21" t="s">
        <v>56</v>
      </c>
      <c r="I102" s="33">
        <v>4.2</v>
      </c>
      <c r="J102" s="15" t="s">
        <v>56</v>
      </c>
      <c r="K102" s="34">
        <v>4.0999999999999996</v>
      </c>
      <c r="L102" s="15" t="s">
        <v>56</v>
      </c>
      <c r="M102" s="35">
        <v>4.8</v>
      </c>
      <c r="N102" s="15" t="s">
        <v>56</v>
      </c>
      <c r="O102" s="35">
        <v>4.7</v>
      </c>
      <c r="P102" s="15" t="s">
        <v>56</v>
      </c>
      <c r="Q102" s="35">
        <v>4.7</v>
      </c>
      <c r="R102" s="15" t="s">
        <v>56</v>
      </c>
      <c r="S102" s="35">
        <v>5.2</v>
      </c>
      <c r="T102" s="15" t="s">
        <v>56</v>
      </c>
      <c r="U102" s="35">
        <v>4.78</v>
      </c>
      <c r="V102" s="15" t="s">
        <v>56</v>
      </c>
      <c r="W102" s="34">
        <v>5.7</v>
      </c>
      <c r="X102" s="15" t="s">
        <v>56</v>
      </c>
      <c r="Y102" s="58">
        <v>13.42</v>
      </c>
      <c r="Z102" s="15" t="s">
        <v>60</v>
      </c>
      <c r="AA102" s="53">
        <v>16.850000000000001</v>
      </c>
      <c r="AB102" s="15" t="s">
        <v>60</v>
      </c>
      <c r="AC102" s="53">
        <v>18.5</v>
      </c>
      <c r="AD102" s="60" t="s">
        <v>60</v>
      </c>
      <c r="AE102" s="65">
        <v>32.9</v>
      </c>
      <c r="AF102" s="60" t="s">
        <v>60</v>
      </c>
    </row>
    <row r="103" spans="1:32" ht="15.75" customHeight="1">
      <c r="A103" s="21">
        <v>99</v>
      </c>
      <c r="B103" s="21">
        <v>4.5999999999999996</v>
      </c>
      <c r="C103" s="21">
        <v>4</v>
      </c>
      <c r="E103">
        <v>3.9</v>
      </c>
      <c r="G103">
        <v>3.9</v>
      </c>
      <c r="H103" s="21" t="s">
        <v>56</v>
      </c>
      <c r="I103" s="33">
        <v>4.4000000000000004</v>
      </c>
      <c r="J103" s="15" t="s">
        <v>56</v>
      </c>
      <c r="K103" s="34">
        <v>4.4000000000000004</v>
      </c>
      <c r="L103" s="15" t="s">
        <v>56</v>
      </c>
      <c r="M103" s="35">
        <v>4.7</v>
      </c>
      <c r="N103" s="15" t="s">
        <v>56</v>
      </c>
      <c r="O103" s="35">
        <v>5</v>
      </c>
      <c r="P103" s="15" t="s">
        <v>56</v>
      </c>
      <c r="Q103" s="35">
        <v>5.2</v>
      </c>
      <c r="R103" s="15" t="s">
        <v>56</v>
      </c>
      <c r="S103" s="35">
        <v>5.3</v>
      </c>
      <c r="T103" s="15" t="s">
        <v>56</v>
      </c>
      <c r="U103" s="35">
        <v>5.19</v>
      </c>
      <c r="V103" s="15" t="s">
        <v>56</v>
      </c>
      <c r="W103" s="34">
        <v>6.47</v>
      </c>
      <c r="X103" s="15" t="s">
        <v>56</v>
      </c>
      <c r="Y103" s="56">
        <v>10.56</v>
      </c>
      <c r="Z103" s="15" t="s">
        <v>58</v>
      </c>
      <c r="AA103" s="53">
        <v>12.61</v>
      </c>
      <c r="AB103" s="15" t="s">
        <v>60</v>
      </c>
      <c r="AC103" s="53">
        <v>13.69</v>
      </c>
      <c r="AD103" s="60" t="s">
        <v>60</v>
      </c>
      <c r="AE103" s="65">
        <v>15.4</v>
      </c>
      <c r="AF103" s="60" t="s">
        <v>60</v>
      </c>
    </row>
    <row r="104" spans="1:32" ht="15.75" customHeight="1">
      <c r="A104" s="21">
        <v>100</v>
      </c>
      <c r="B104" s="21">
        <v>4.4000000000000004</v>
      </c>
      <c r="C104" s="21">
        <v>3.8</v>
      </c>
      <c r="E104">
        <v>3.4</v>
      </c>
      <c r="G104">
        <v>3.5</v>
      </c>
      <c r="H104" s="21" t="s">
        <v>56</v>
      </c>
      <c r="I104" s="33">
        <v>4</v>
      </c>
      <c r="J104" s="15" t="s">
        <v>56</v>
      </c>
      <c r="K104" s="34">
        <v>4.5999999999999996</v>
      </c>
      <c r="L104" s="15" t="s">
        <v>56</v>
      </c>
      <c r="M104" s="35">
        <v>5.3</v>
      </c>
      <c r="N104" s="15" t="s">
        <v>56</v>
      </c>
      <c r="O104" s="35">
        <v>4.4000000000000004</v>
      </c>
      <c r="P104" s="15" t="s">
        <v>56</v>
      </c>
      <c r="Q104" s="35">
        <v>4.8</v>
      </c>
      <c r="R104" s="15" t="s">
        <v>56</v>
      </c>
      <c r="S104" s="35">
        <v>5.3</v>
      </c>
      <c r="T104" s="15" t="s">
        <v>56</v>
      </c>
      <c r="U104" s="35">
        <v>4.8099999999999996</v>
      </c>
      <c r="V104" s="15" t="s">
        <v>56</v>
      </c>
      <c r="W104" s="34">
        <v>7.26</v>
      </c>
      <c r="X104" s="15" t="s">
        <v>56</v>
      </c>
      <c r="Y104" s="58">
        <v>19.39</v>
      </c>
      <c r="Z104" s="15" t="s">
        <v>60</v>
      </c>
      <c r="AA104" s="53">
        <v>25.71</v>
      </c>
      <c r="AB104" s="15" t="s">
        <v>60</v>
      </c>
      <c r="AC104" s="53">
        <v>30.18</v>
      </c>
      <c r="AD104" s="60" t="s">
        <v>60</v>
      </c>
      <c r="AE104" s="65">
        <v>41.4</v>
      </c>
      <c r="AF104" s="60" t="s">
        <v>60</v>
      </c>
    </row>
    <row r="105" spans="1:32" ht="15.75" customHeight="1">
      <c r="A105" s="21">
        <v>101</v>
      </c>
      <c r="B105" s="21">
        <v>4.5999999999999996</v>
      </c>
      <c r="C105" s="21">
        <v>3.8</v>
      </c>
      <c r="E105">
        <v>3.4</v>
      </c>
      <c r="G105">
        <v>4.3</v>
      </c>
      <c r="H105" s="21" t="s">
        <v>56</v>
      </c>
      <c r="I105" s="33">
        <v>4.3</v>
      </c>
      <c r="J105" s="15" t="s">
        <v>56</v>
      </c>
      <c r="K105" s="34">
        <v>4.2</v>
      </c>
      <c r="L105" s="15" t="s">
        <v>56</v>
      </c>
      <c r="M105" s="35">
        <v>4.5</v>
      </c>
      <c r="N105" s="15" t="s">
        <v>56</v>
      </c>
      <c r="O105" s="35">
        <v>4.5999999999999996</v>
      </c>
      <c r="P105" s="15" t="s">
        <v>56</v>
      </c>
      <c r="Q105" s="35">
        <v>5.4</v>
      </c>
      <c r="R105" s="15" t="s">
        <v>56</v>
      </c>
      <c r="S105" s="35">
        <v>4.5999999999999996</v>
      </c>
      <c r="T105" s="15" t="s">
        <v>56</v>
      </c>
      <c r="U105" s="35">
        <v>4.97</v>
      </c>
      <c r="V105" s="15" t="s">
        <v>56</v>
      </c>
      <c r="W105" s="34">
        <v>6.51</v>
      </c>
      <c r="X105" s="15" t="s">
        <v>56</v>
      </c>
      <c r="Y105" s="56">
        <v>9.4499999999999993</v>
      </c>
      <c r="Z105" s="15" t="s">
        <v>58</v>
      </c>
      <c r="AA105" s="53">
        <v>12.31</v>
      </c>
      <c r="AB105" s="15" t="s">
        <v>60</v>
      </c>
      <c r="AC105" s="53">
        <v>12.83</v>
      </c>
      <c r="AD105" s="60" t="s">
        <v>60</v>
      </c>
      <c r="AE105" s="65">
        <v>15.8</v>
      </c>
      <c r="AF105" s="60" t="s">
        <v>60</v>
      </c>
    </row>
    <row r="106" spans="1:32" ht="15.75" customHeight="1">
      <c r="A106" s="21">
        <v>102</v>
      </c>
      <c r="B106" s="21">
        <v>4.7</v>
      </c>
      <c r="C106" s="21">
        <v>4</v>
      </c>
      <c r="E106">
        <v>3.4</v>
      </c>
      <c r="G106">
        <v>4.3</v>
      </c>
      <c r="H106" s="21" t="s">
        <v>56</v>
      </c>
      <c r="I106" s="33">
        <v>4.0999999999999996</v>
      </c>
      <c r="J106" s="15" t="s">
        <v>56</v>
      </c>
      <c r="K106" s="34">
        <v>4.5999999999999996</v>
      </c>
      <c r="L106" s="15" t="s">
        <v>56</v>
      </c>
      <c r="M106" s="35">
        <v>4.9000000000000004</v>
      </c>
      <c r="N106" s="15" t="s">
        <v>56</v>
      </c>
      <c r="O106" s="35">
        <v>4.5999999999999996</v>
      </c>
      <c r="P106" s="15" t="s">
        <v>56</v>
      </c>
      <c r="Q106" s="35">
        <v>4.7</v>
      </c>
      <c r="R106" s="15" t="s">
        <v>56</v>
      </c>
      <c r="S106" s="35">
        <v>4.5999999999999996</v>
      </c>
      <c r="T106" s="15" t="s">
        <v>56</v>
      </c>
      <c r="U106" s="35">
        <v>5.33</v>
      </c>
      <c r="V106" s="15" t="s">
        <v>56</v>
      </c>
      <c r="W106" s="34">
        <v>6.26</v>
      </c>
      <c r="X106" s="15" t="s">
        <v>56</v>
      </c>
      <c r="Y106" s="56">
        <v>9.59</v>
      </c>
      <c r="Z106" s="15" t="s">
        <v>58</v>
      </c>
      <c r="AA106" s="52">
        <v>11.97</v>
      </c>
      <c r="AB106" s="15" t="s">
        <v>58</v>
      </c>
      <c r="AC106" s="53">
        <v>12.66</v>
      </c>
      <c r="AD106" s="60" t="s">
        <v>60</v>
      </c>
      <c r="AE106" s="65">
        <v>14.1</v>
      </c>
      <c r="AF106" s="60" t="s">
        <v>60</v>
      </c>
    </row>
    <row r="107" spans="1:32" ht="15.75" customHeight="1">
      <c r="A107" s="21">
        <v>103</v>
      </c>
      <c r="B107" s="21">
        <v>4.5</v>
      </c>
      <c r="C107" s="21">
        <v>3.7</v>
      </c>
      <c r="E107">
        <v>3.4</v>
      </c>
      <c r="G107">
        <v>3.9</v>
      </c>
      <c r="H107" s="21" t="s">
        <v>56</v>
      </c>
      <c r="I107" s="33">
        <v>4.2</v>
      </c>
      <c r="J107" s="15" t="s">
        <v>56</v>
      </c>
      <c r="K107" s="34">
        <v>4.5999999999999996</v>
      </c>
      <c r="L107" s="15" t="s">
        <v>56</v>
      </c>
      <c r="M107" s="35">
        <v>4.7</v>
      </c>
      <c r="N107" s="15" t="s">
        <v>56</v>
      </c>
      <c r="O107" s="35">
        <v>4.8</v>
      </c>
      <c r="P107" s="15" t="s">
        <v>56</v>
      </c>
      <c r="Q107" s="35">
        <v>4.8</v>
      </c>
      <c r="R107" s="15" t="s">
        <v>56</v>
      </c>
      <c r="S107" s="35">
        <v>4.5999999999999996</v>
      </c>
      <c r="T107" s="15" t="s">
        <v>56</v>
      </c>
      <c r="U107" s="35">
        <v>5.15</v>
      </c>
      <c r="V107" s="15" t="s">
        <v>56</v>
      </c>
      <c r="W107" s="52">
        <v>9.4700000000000006</v>
      </c>
      <c r="X107" s="15" t="s">
        <v>58</v>
      </c>
      <c r="Y107" s="56">
        <v>9.7100000000000009</v>
      </c>
      <c r="Z107" s="15" t="s">
        <v>58</v>
      </c>
      <c r="AA107" s="52">
        <v>11.8</v>
      </c>
      <c r="AB107" s="15" t="s">
        <v>58</v>
      </c>
      <c r="AC107" s="53">
        <v>12.6</v>
      </c>
      <c r="AD107" s="60" t="s">
        <v>60</v>
      </c>
      <c r="AE107" s="65">
        <v>15.2</v>
      </c>
      <c r="AF107" s="60" t="s">
        <v>60</v>
      </c>
    </row>
    <row r="108" spans="1:32" ht="15.75" customHeight="1">
      <c r="A108" s="21">
        <v>104</v>
      </c>
      <c r="B108" s="21">
        <v>4.5999999999999996</v>
      </c>
      <c r="C108" s="21">
        <v>4</v>
      </c>
      <c r="E108">
        <v>3.5</v>
      </c>
      <c r="G108">
        <v>4.3</v>
      </c>
      <c r="H108" s="21" t="s">
        <v>56</v>
      </c>
      <c r="I108" s="33">
        <v>4.2</v>
      </c>
      <c r="J108" s="15" t="s">
        <v>56</v>
      </c>
      <c r="K108" s="34">
        <v>4.2</v>
      </c>
      <c r="L108" s="15" t="s">
        <v>56</v>
      </c>
      <c r="M108" s="35">
        <v>5.0999999999999996</v>
      </c>
      <c r="N108" s="15" t="s">
        <v>56</v>
      </c>
      <c r="O108" s="35">
        <v>4.7</v>
      </c>
      <c r="P108" s="15" t="s">
        <v>56</v>
      </c>
      <c r="Q108" s="35">
        <v>4.4000000000000004</v>
      </c>
      <c r="R108" s="15" t="s">
        <v>56</v>
      </c>
      <c r="S108" s="35">
        <v>6</v>
      </c>
      <c r="T108" s="15" t="s">
        <v>56</v>
      </c>
      <c r="U108" s="35">
        <v>5.73</v>
      </c>
      <c r="V108" s="15" t="s">
        <v>56</v>
      </c>
      <c r="W108" s="34">
        <v>6.37</v>
      </c>
      <c r="X108" s="15" t="s">
        <v>56</v>
      </c>
      <c r="Y108" s="58">
        <v>17.350000000000001</v>
      </c>
      <c r="Z108" s="15" t="s">
        <v>60</v>
      </c>
      <c r="AA108" s="53">
        <v>22.45</v>
      </c>
      <c r="AB108" s="15" t="s">
        <v>60</v>
      </c>
      <c r="AC108" s="53">
        <v>26.92</v>
      </c>
      <c r="AD108" s="60" t="s">
        <v>60</v>
      </c>
      <c r="AE108" s="65">
        <v>31.1</v>
      </c>
      <c r="AF108" s="60" t="s">
        <v>60</v>
      </c>
    </row>
    <row r="109" spans="1:32" ht="15.75" customHeight="1">
      <c r="A109" s="21">
        <v>105</v>
      </c>
      <c r="B109" s="21">
        <v>4.5</v>
      </c>
      <c r="C109" s="21">
        <v>3.5</v>
      </c>
      <c r="E109">
        <v>3.5</v>
      </c>
      <c r="G109">
        <v>4.2</v>
      </c>
      <c r="H109" s="21" t="s">
        <v>56</v>
      </c>
      <c r="I109" s="33">
        <v>4.3</v>
      </c>
      <c r="J109" s="15" t="s">
        <v>56</v>
      </c>
      <c r="K109" s="34">
        <v>4.3</v>
      </c>
      <c r="L109" s="15" t="s">
        <v>56</v>
      </c>
      <c r="M109" s="35">
        <v>4.5999999999999996</v>
      </c>
      <c r="N109" s="15" t="s">
        <v>56</v>
      </c>
      <c r="O109" s="35">
        <v>5</v>
      </c>
      <c r="P109" s="15" t="s">
        <v>56</v>
      </c>
      <c r="Q109" s="35">
        <v>4.9000000000000004</v>
      </c>
      <c r="R109" s="15" t="s">
        <v>56</v>
      </c>
      <c r="S109" s="35">
        <v>4.8</v>
      </c>
      <c r="T109" s="15" t="s">
        <v>56</v>
      </c>
      <c r="U109" s="35">
        <v>4.97</v>
      </c>
      <c r="V109" s="15" t="s">
        <v>56</v>
      </c>
      <c r="W109" s="34">
        <v>6.49</v>
      </c>
      <c r="X109" s="15" t="s">
        <v>56</v>
      </c>
      <c r="Y109" s="56">
        <v>10.039999999999999</v>
      </c>
      <c r="Z109" s="15" t="s">
        <v>58</v>
      </c>
      <c r="AA109" s="53">
        <v>12.03</v>
      </c>
      <c r="AB109" s="15" t="s">
        <v>60</v>
      </c>
      <c r="AC109" s="53">
        <v>13.01</v>
      </c>
      <c r="AD109" s="60" t="s">
        <v>60</v>
      </c>
      <c r="AE109" s="65">
        <v>15.5</v>
      </c>
      <c r="AF109" s="60" t="s">
        <v>60</v>
      </c>
    </row>
    <row r="110" spans="1:32" ht="15.75" customHeight="1">
      <c r="A110" s="21">
        <v>106</v>
      </c>
      <c r="B110" s="21">
        <v>4.4000000000000004</v>
      </c>
      <c r="C110" s="21">
        <v>3.8</v>
      </c>
      <c r="E110">
        <v>3.4</v>
      </c>
      <c r="G110">
        <v>4</v>
      </c>
      <c r="H110" s="21" t="s">
        <v>56</v>
      </c>
      <c r="I110" s="33">
        <v>4.3</v>
      </c>
      <c r="J110" s="15" t="s">
        <v>56</v>
      </c>
      <c r="K110" s="34">
        <v>4.5</v>
      </c>
      <c r="L110" s="15" t="s">
        <v>56</v>
      </c>
      <c r="M110" s="35">
        <v>4.8</v>
      </c>
      <c r="N110" s="15" t="s">
        <v>56</v>
      </c>
      <c r="O110" s="35">
        <v>4.9000000000000004</v>
      </c>
      <c r="P110" s="15" t="s">
        <v>56</v>
      </c>
      <c r="Q110" s="35">
        <v>4.4000000000000004</v>
      </c>
      <c r="R110" s="15" t="s">
        <v>56</v>
      </c>
      <c r="S110" s="35">
        <v>4.8</v>
      </c>
      <c r="T110" s="15" t="s">
        <v>56</v>
      </c>
      <c r="U110" s="35">
        <v>5.68</v>
      </c>
      <c r="V110" s="15" t="s">
        <v>56</v>
      </c>
      <c r="W110" s="34">
        <v>6.89</v>
      </c>
      <c r="X110" s="15" t="s">
        <v>56</v>
      </c>
      <c r="Y110" s="58">
        <v>13.35</v>
      </c>
      <c r="Z110" s="15" t="s">
        <v>60</v>
      </c>
      <c r="AA110" s="53">
        <v>9999</v>
      </c>
      <c r="AB110" s="15" t="s">
        <v>60</v>
      </c>
      <c r="AC110" s="53">
        <v>17.27</v>
      </c>
      <c r="AD110" s="60" t="s">
        <v>60</v>
      </c>
      <c r="AE110" s="65">
        <v>28.8</v>
      </c>
      <c r="AF110" s="60" t="s">
        <v>60</v>
      </c>
    </row>
    <row r="111" spans="1:32" ht="15.75" customHeight="1">
      <c r="A111" s="21">
        <v>107</v>
      </c>
      <c r="B111" s="21">
        <v>4.5999999999999996</v>
      </c>
      <c r="C111" s="21">
        <v>3.8</v>
      </c>
      <c r="E111">
        <v>3.6</v>
      </c>
      <c r="G111">
        <v>4.3</v>
      </c>
      <c r="H111" s="21" t="s">
        <v>56</v>
      </c>
      <c r="I111" s="33">
        <v>3.9</v>
      </c>
      <c r="J111" s="15" t="s">
        <v>56</v>
      </c>
      <c r="K111" s="34">
        <v>4.4000000000000004</v>
      </c>
      <c r="L111" s="15" t="s">
        <v>56</v>
      </c>
      <c r="M111" s="35">
        <v>4.8</v>
      </c>
      <c r="N111" s="15" t="s">
        <v>56</v>
      </c>
      <c r="O111" s="35">
        <v>4.5</v>
      </c>
      <c r="P111" s="15" t="s">
        <v>56</v>
      </c>
      <c r="Q111" s="35">
        <v>4.7</v>
      </c>
      <c r="R111" s="15" t="s">
        <v>56</v>
      </c>
      <c r="S111" s="35">
        <v>5.0999999999999996</v>
      </c>
      <c r="T111" s="15" t="s">
        <v>56</v>
      </c>
      <c r="U111" s="35">
        <v>5.49</v>
      </c>
      <c r="V111" s="15" t="s">
        <v>56</v>
      </c>
      <c r="W111" s="34">
        <v>7.57</v>
      </c>
      <c r="X111" s="15" t="s">
        <v>56</v>
      </c>
      <c r="Y111" s="56">
        <v>11.4</v>
      </c>
      <c r="Z111" s="15" t="s">
        <v>58</v>
      </c>
      <c r="AA111" s="53">
        <v>14.19</v>
      </c>
      <c r="AB111" s="15" t="s">
        <v>60</v>
      </c>
      <c r="AC111" s="53">
        <v>15.21</v>
      </c>
      <c r="AD111" s="60" t="s">
        <v>60</v>
      </c>
      <c r="AE111" s="65">
        <v>17.8</v>
      </c>
      <c r="AF111" s="60" t="s">
        <v>60</v>
      </c>
    </row>
    <row r="112" spans="1:32" ht="15.75" customHeight="1">
      <c r="A112" s="21">
        <v>108</v>
      </c>
      <c r="B112" s="21">
        <v>4.5999999999999996</v>
      </c>
      <c r="C112" s="21">
        <v>3.7</v>
      </c>
      <c r="E112">
        <v>3.7</v>
      </c>
      <c r="G112">
        <v>3.6</v>
      </c>
      <c r="H112" s="21" t="s">
        <v>56</v>
      </c>
      <c r="I112" s="33">
        <v>4</v>
      </c>
      <c r="J112" s="15" t="s">
        <v>56</v>
      </c>
      <c r="K112" s="34">
        <v>4.3</v>
      </c>
      <c r="L112" s="15" t="s">
        <v>56</v>
      </c>
      <c r="M112" s="35">
        <v>4.8</v>
      </c>
      <c r="N112" s="15" t="s">
        <v>56</v>
      </c>
      <c r="O112" s="35">
        <v>4.4000000000000004</v>
      </c>
      <c r="P112" s="15" t="s">
        <v>56</v>
      </c>
      <c r="Q112" s="35">
        <v>5</v>
      </c>
      <c r="R112" s="15" t="s">
        <v>56</v>
      </c>
      <c r="S112" s="35">
        <v>4.8</v>
      </c>
      <c r="T112" s="15" t="s">
        <v>56</v>
      </c>
      <c r="U112" s="35">
        <v>5.46</v>
      </c>
      <c r="V112" s="15" t="s">
        <v>56</v>
      </c>
      <c r="W112" s="34">
        <v>6.12</v>
      </c>
      <c r="X112" s="15" t="s">
        <v>56</v>
      </c>
      <c r="Y112" s="56">
        <v>10.88</v>
      </c>
      <c r="Z112" s="15" t="s">
        <v>58</v>
      </c>
      <c r="AA112" s="53">
        <v>12.71</v>
      </c>
      <c r="AB112" s="15" t="s">
        <v>60</v>
      </c>
      <c r="AC112" s="53">
        <v>13.79</v>
      </c>
      <c r="AD112" s="60" t="s">
        <v>60</v>
      </c>
      <c r="AE112" s="65">
        <v>16.100000000000001</v>
      </c>
      <c r="AF112" s="60" t="s">
        <v>60</v>
      </c>
    </row>
    <row r="113" spans="1:32" ht="15.75" customHeight="1">
      <c r="A113" s="21">
        <v>109</v>
      </c>
      <c r="B113" s="21">
        <v>4.5</v>
      </c>
      <c r="C113" s="21">
        <v>3.6</v>
      </c>
      <c r="E113">
        <v>3.3</v>
      </c>
      <c r="G113">
        <v>3.4</v>
      </c>
      <c r="H113" s="21" t="s">
        <v>56</v>
      </c>
      <c r="I113" s="33">
        <v>4</v>
      </c>
      <c r="J113" s="15" t="s">
        <v>56</v>
      </c>
      <c r="K113" s="34">
        <v>4.0999999999999996</v>
      </c>
      <c r="L113" s="15" t="s">
        <v>56</v>
      </c>
      <c r="M113" s="35">
        <v>4.5</v>
      </c>
      <c r="N113" s="15" t="s">
        <v>56</v>
      </c>
      <c r="O113" s="35">
        <v>4.5</v>
      </c>
      <c r="P113" s="15" t="s">
        <v>56</v>
      </c>
      <c r="Q113" s="35">
        <v>5.2</v>
      </c>
      <c r="R113" s="15" t="s">
        <v>56</v>
      </c>
      <c r="S113" s="35">
        <v>4.7</v>
      </c>
      <c r="T113" s="15" t="s">
        <v>56</v>
      </c>
      <c r="U113" s="35">
        <v>4.62</v>
      </c>
      <c r="V113" s="15" t="s">
        <v>56</v>
      </c>
      <c r="W113" s="34">
        <v>7.44</v>
      </c>
      <c r="X113" s="15" t="s">
        <v>56</v>
      </c>
      <c r="Y113" s="49">
        <v>8.32</v>
      </c>
      <c r="Z113" s="15" t="s">
        <v>56</v>
      </c>
      <c r="AA113" s="52">
        <v>9.93</v>
      </c>
      <c r="AB113" s="15" t="s">
        <v>58</v>
      </c>
      <c r="AC113" s="63">
        <v>10.57</v>
      </c>
      <c r="AD113" s="60" t="s">
        <v>58</v>
      </c>
      <c r="AE113" s="64">
        <v>12</v>
      </c>
      <c r="AF113" s="60" t="s">
        <v>58</v>
      </c>
    </row>
    <row r="114" spans="1:32" ht="15.75" customHeight="1">
      <c r="A114" s="21">
        <v>110</v>
      </c>
      <c r="B114" s="21">
        <v>4.5</v>
      </c>
      <c r="C114" s="21">
        <v>4.0999999999999996</v>
      </c>
      <c r="E114">
        <v>3.3</v>
      </c>
      <c r="G114">
        <v>3.5</v>
      </c>
      <c r="H114" s="21" t="s">
        <v>56</v>
      </c>
      <c r="I114" s="33">
        <v>4.4000000000000004</v>
      </c>
      <c r="J114" s="15" t="s">
        <v>56</v>
      </c>
      <c r="K114" s="34">
        <v>4.0999999999999996</v>
      </c>
      <c r="L114" s="15" t="s">
        <v>56</v>
      </c>
      <c r="M114" s="35">
        <v>4.7</v>
      </c>
      <c r="N114" s="15" t="s">
        <v>56</v>
      </c>
      <c r="O114" s="35">
        <v>4.3</v>
      </c>
      <c r="P114" s="15" t="s">
        <v>56</v>
      </c>
      <c r="Q114" s="35">
        <v>4.5</v>
      </c>
      <c r="R114" s="15" t="s">
        <v>56</v>
      </c>
      <c r="S114" s="35">
        <v>4.7</v>
      </c>
      <c r="T114" s="15" t="s">
        <v>56</v>
      </c>
      <c r="U114" s="35">
        <v>4.8</v>
      </c>
      <c r="V114" s="15" t="s">
        <v>56</v>
      </c>
      <c r="W114" s="34">
        <v>5.45</v>
      </c>
      <c r="X114" s="15" t="s">
        <v>56</v>
      </c>
      <c r="Y114" s="56">
        <v>9.85</v>
      </c>
      <c r="Z114" s="15" t="s">
        <v>58</v>
      </c>
      <c r="AA114" s="52">
        <v>11.84</v>
      </c>
      <c r="AB114" s="15" t="s">
        <v>58</v>
      </c>
      <c r="AC114" s="53">
        <v>13.07</v>
      </c>
      <c r="AD114" s="60" t="s">
        <v>60</v>
      </c>
      <c r="AE114" s="65">
        <v>14.5</v>
      </c>
      <c r="AF114" s="60" t="s">
        <v>60</v>
      </c>
    </row>
    <row r="115" spans="1:32" ht="15.75" customHeight="1">
      <c r="A115" s="21">
        <v>111</v>
      </c>
      <c r="B115" s="21">
        <v>4.7</v>
      </c>
      <c r="C115" s="21">
        <v>3.9</v>
      </c>
      <c r="E115">
        <v>3.4</v>
      </c>
      <c r="G115">
        <v>4.5</v>
      </c>
      <c r="H115" s="21" t="s">
        <v>56</v>
      </c>
      <c r="I115" s="33">
        <v>4</v>
      </c>
      <c r="J115" s="15" t="s">
        <v>56</v>
      </c>
      <c r="K115" s="34">
        <v>4.4000000000000004</v>
      </c>
      <c r="L115" s="15" t="s">
        <v>56</v>
      </c>
      <c r="M115" s="35">
        <v>4.8</v>
      </c>
      <c r="N115" s="15" t="s">
        <v>56</v>
      </c>
      <c r="O115" s="35">
        <v>4.5</v>
      </c>
      <c r="P115" s="15" t="s">
        <v>56</v>
      </c>
      <c r="Q115" s="35">
        <v>5.0999999999999996</v>
      </c>
      <c r="R115" s="15" t="s">
        <v>56</v>
      </c>
      <c r="S115" s="35">
        <v>4.2</v>
      </c>
      <c r="T115" s="15" t="s">
        <v>56</v>
      </c>
      <c r="U115" s="35">
        <v>4.9400000000000004</v>
      </c>
      <c r="V115" s="15" t="s">
        <v>56</v>
      </c>
      <c r="W115" s="34">
        <v>6.84</v>
      </c>
      <c r="X115" s="15" t="s">
        <v>56</v>
      </c>
      <c r="Y115" s="49">
        <v>7.58</v>
      </c>
      <c r="Z115" s="15" t="s">
        <v>56</v>
      </c>
      <c r="AA115" s="34">
        <v>8.31</v>
      </c>
      <c r="AB115" s="15" t="s">
        <v>56</v>
      </c>
      <c r="AC115" s="61">
        <v>9.4</v>
      </c>
      <c r="AD115" s="60" t="s">
        <v>56</v>
      </c>
      <c r="AE115" s="64">
        <v>10.4</v>
      </c>
      <c r="AF115" s="60" t="s">
        <v>58</v>
      </c>
    </row>
    <row r="116" spans="1:32" ht="15.75" customHeight="1">
      <c r="A116" s="21">
        <v>112</v>
      </c>
      <c r="B116" s="21">
        <v>4.5999999999999996</v>
      </c>
      <c r="C116" s="21">
        <v>3.7</v>
      </c>
      <c r="E116">
        <v>3.3</v>
      </c>
      <c r="G116">
        <v>4.2</v>
      </c>
      <c r="H116" s="21" t="s">
        <v>56</v>
      </c>
      <c r="I116" s="33">
        <v>4.0999999999999996</v>
      </c>
      <c r="J116" s="15" t="s">
        <v>56</v>
      </c>
      <c r="K116" s="34">
        <v>4.2</v>
      </c>
      <c r="L116" s="15" t="s">
        <v>56</v>
      </c>
      <c r="M116" s="35">
        <v>4.8</v>
      </c>
      <c r="N116" s="15" t="s">
        <v>56</v>
      </c>
      <c r="O116" s="35">
        <v>4.9000000000000004</v>
      </c>
      <c r="P116" s="15" t="s">
        <v>56</v>
      </c>
      <c r="Q116" s="35">
        <v>5.2</v>
      </c>
      <c r="R116" s="15" t="s">
        <v>56</v>
      </c>
      <c r="S116" s="35">
        <v>5.0999999999999996</v>
      </c>
      <c r="T116" s="15" t="s">
        <v>56</v>
      </c>
      <c r="U116" s="35">
        <v>5.18</v>
      </c>
      <c r="V116" s="15" t="s">
        <v>56</v>
      </c>
      <c r="W116" s="34">
        <v>6.7</v>
      </c>
      <c r="X116" s="15" t="s">
        <v>56</v>
      </c>
      <c r="Y116" s="56">
        <v>11.47</v>
      </c>
      <c r="Z116" s="15" t="s">
        <v>58</v>
      </c>
      <c r="AA116" s="53">
        <v>14.36</v>
      </c>
      <c r="AB116" s="15" t="s">
        <v>60</v>
      </c>
      <c r="AC116" s="53">
        <v>15.38</v>
      </c>
      <c r="AD116" s="60" t="s">
        <v>60</v>
      </c>
      <c r="AE116" s="65">
        <v>18.2</v>
      </c>
      <c r="AF116" s="60" t="s">
        <v>60</v>
      </c>
    </row>
    <row r="117" spans="1:32" ht="15.75" customHeight="1">
      <c r="A117" s="21">
        <v>113</v>
      </c>
      <c r="B117" s="21">
        <v>4.5</v>
      </c>
      <c r="C117" s="21">
        <v>4.0999999999999996</v>
      </c>
      <c r="E117">
        <v>3.1</v>
      </c>
      <c r="G117">
        <v>4.4000000000000004</v>
      </c>
      <c r="H117" s="21" t="s">
        <v>56</v>
      </c>
      <c r="I117" s="33">
        <v>4.4000000000000004</v>
      </c>
      <c r="J117" s="15" t="s">
        <v>56</v>
      </c>
      <c r="K117" s="34">
        <v>4.3</v>
      </c>
      <c r="L117" s="15" t="s">
        <v>56</v>
      </c>
      <c r="M117" s="35">
        <v>5.0999999999999996</v>
      </c>
      <c r="N117" s="15" t="s">
        <v>56</v>
      </c>
      <c r="O117" s="35">
        <v>4.9000000000000004</v>
      </c>
      <c r="P117" s="15" t="s">
        <v>56</v>
      </c>
      <c r="Q117" s="35">
        <v>4.5</v>
      </c>
      <c r="R117" s="15" t="s">
        <v>56</v>
      </c>
      <c r="S117" s="35">
        <v>4.9000000000000004</v>
      </c>
      <c r="T117" s="15" t="s">
        <v>56</v>
      </c>
      <c r="U117" s="35">
        <v>5.45</v>
      </c>
      <c r="V117" s="15" t="s">
        <v>56</v>
      </c>
      <c r="W117" s="34">
        <v>5.63</v>
      </c>
      <c r="X117" s="15" t="s">
        <v>56</v>
      </c>
      <c r="Y117" s="56">
        <v>9.16</v>
      </c>
      <c r="Z117" s="15" t="s">
        <v>58</v>
      </c>
      <c r="AA117" s="52">
        <v>10.73</v>
      </c>
      <c r="AB117" s="15" t="s">
        <v>58</v>
      </c>
      <c r="AC117" s="63">
        <v>11.34</v>
      </c>
      <c r="AD117" s="60" t="s">
        <v>58</v>
      </c>
      <c r="AE117" s="65">
        <v>12.9</v>
      </c>
      <c r="AF117" s="60" t="s">
        <v>60</v>
      </c>
    </row>
    <row r="118" spans="1:32" ht="15.75" customHeight="1">
      <c r="A118" s="21">
        <v>114</v>
      </c>
      <c r="B118" s="21">
        <v>4.4000000000000004</v>
      </c>
      <c r="C118" s="21">
        <v>3.7</v>
      </c>
      <c r="E118">
        <v>3.3</v>
      </c>
      <c r="G118">
        <v>3.5</v>
      </c>
      <c r="H118" s="21" t="s">
        <v>56</v>
      </c>
      <c r="I118" s="33">
        <v>4.2</v>
      </c>
      <c r="J118" s="15" t="s">
        <v>56</v>
      </c>
      <c r="K118" s="34">
        <v>4.9000000000000004</v>
      </c>
      <c r="L118" s="15" t="s">
        <v>56</v>
      </c>
      <c r="M118" s="35">
        <v>4.8</v>
      </c>
      <c r="N118" s="15" t="s">
        <v>56</v>
      </c>
      <c r="O118" s="35">
        <v>4.9000000000000004</v>
      </c>
      <c r="P118" s="15" t="s">
        <v>56</v>
      </c>
      <c r="Q118" s="35">
        <v>4.9000000000000004</v>
      </c>
      <c r="R118" s="15" t="s">
        <v>56</v>
      </c>
      <c r="S118" s="35">
        <v>4.9000000000000004</v>
      </c>
      <c r="T118" s="15" t="s">
        <v>56</v>
      </c>
      <c r="U118" s="35">
        <v>5.82</v>
      </c>
      <c r="V118" s="15" t="s">
        <v>56</v>
      </c>
      <c r="W118" s="34">
        <v>6.54</v>
      </c>
      <c r="X118" s="15" t="s">
        <v>56</v>
      </c>
      <c r="Y118" s="56">
        <v>10.51</v>
      </c>
      <c r="Z118" s="15" t="s">
        <v>58</v>
      </c>
      <c r="AA118" s="53">
        <v>12.72</v>
      </c>
      <c r="AB118" s="15" t="s">
        <v>60</v>
      </c>
      <c r="AC118" s="63">
        <v>13.4</v>
      </c>
      <c r="AD118" s="60" t="s">
        <v>58</v>
      </c>
      <c r="AE118" s="65">
        <v>15.7</v>
      </c>
      <c r="AF118" s="60" t="s">
        <v>60</v>
      </c>
    </row>
    <row r="119" spans="1:32" ht="15.75" customHeight="1">
      <c r="A119" s="21">
        <v>115</v>
      </c>
      <c r="B119" s="21">
        <v>4.5</v>
      </c>
      <c r="C119" s="21">
        <v>4.0999999999999996</v>
      </c>
      <c r="E119">
        <v>3.4</v>
      </c>
      <c r="G119">
        <v>3.5</v>
      </c>
      <c r="H119" s="21" t="s">
        <v>56</v>
      </c>
      <c r="I119" s="33">
        <v>3.7</v>
      </c>
      <c r="J119" s="15" t="s">
        <v>56</v>
      </c>
      <c r="K119" s="34">
        <v>4.4000000000000004</v>
      </c>
      <c r="L119" s="15" t="s">
        <v>56</v>
      </c>
      <c r="M119" s="35">
        <v>5</v>
      </c>
      <c r="N119" s="15" t="s">
        <v>56</v>
      </c>
      <c r="O119" s="35">
        <v>5</v>
      </c>
      <c r="P119" s="15" t="s">
        <v>56</v>
      </c>
      <c r="Q119" s="35">
        <v>4.8</v>
      </c>
      <c r="R119" s="15" t="s">
        <v>56</v>
      </c>
      <c r="S119" s="35">
        <v>4.7</v>
      </c>
      <c r="T119" s="15" t="s">
        <v>56</v>
      </c>
      <c r="U119" s="35">
        <v>4.83</v>
      </c>
      <c r="V119" s="15" t="s">
        <v>56</v>
      </c>
      <c r="W119" s="34">
        <v>6.19</v>
      </c>
      <c r="X119" s="15" t="s">
        <v>56</v>
      </c>
      <c r="Y119" s="58">
        <v>14.18</v>
      </c>
      <c r="Z119" s="15" t="s">
        <v>60</v>
      </c>
      <c r="AA119" s="53">
        <v>18.38</v>
      </c>
      <c r="AB119" s="15" t="s">
        <v>60</v>
      </c>
      <c r="AC119" s="53">
        <v>20.99</v>
      </c>
      <c r="AD119" s="60" t="s">
        <v>60</v>
      </c>
      <c r="AE119" s="65">
        <v>24</v>
      </c>
      <c r="AF119" s="60" t="s">
        <v>60</v>
      </c>
    </row>
    <row r="120" spans="1:32" ht="15.75" customHeight="1">
      <c r="A120" s="21">
        <v>116</v>
      </c>
      <c r="B120" s="21">
        <v>4.5</v>
      </c>
      <c r="C120" s="21">
        <v>3.6</v>
      </c>
      <c r="E120">
        <v>3.3</v>
      </c>
      <c r="G120">
        <v>3.8</v>
      </c>
      <c r="H120" s="21" t="s">
        <v>56</v>
      </c>
      <c r="I120" s="33">
        <v>3.8</v>
      </c>
      <c r="J120" s="15" t="s">
        <v>56</v>
      </c>
      <c r="K120" s="34">
        <v>4.7</v>
      </c>
      <c r="L120" s="15" t="s">
        <v>56</v>
      </c>
      <c r="M120" s="35">
        <v>4.9000000000000004</v>
      </c>
      <c r="N120" s="15" t="s">
        <v>56</v>
      </c>
      <c r="O120" s="35">
        <v>4.5</v>
      </c>
      <c r="P120" s="15" t="s">
        <v>56</v>
      </c>
      <c r="Q120" s="35">
        <v>4.5999999999999996</v>
      </c>
      <c r="R120" s="15" t="s">
        <v>56</v>
      </c>
      <c r="S120" s="35">
        <v>5</v>
      </c>
      <c r="T120" s="15" t="s">
        <v>56</v>
      </c>
      <c r="U120" s="35">
        <v>5.04</v>
      </c>
      <c r="V120" s="15" t="s">
        <v>56</v>
      </c>
      <c r="W120" s="34">
        <v>4.7699999999999996</v>
      </c>
      <c r="X120" s="15" t="s">
        <v>56</v>
      </c>
      <c r="Y120" s="49">
        <v>8.9700000000000006</v>
      </c>
      <c r="Z120" s="15" t="s">
        <v>56</v>
      </c>
      <c r="AA120" s="52">
        <v>10.86</v>
      </c>
      <c r="AB120" s="15" t="s">
        <v>58</v>
      </c>
      <c r="AC120" s="63">
        <v>11.8</v>
      </c>
      <c r="AD120" s="60" t="s">
        <v>58</v>
      </c>
      <c r="AE120" s="65">
        <v>13.5</v>
      </c>
      <c r="AF120" s="60" t="s">
        <v>60</v>
      </c>
    </row>
    <row r="121" spans="1:32" ht="15.75" customHeight="1">
      <c r="A121" s="21">
        <v>117</v>
      </c>
      <c r="B121" s="21">
        <v>4.5</v>
      </c>
      <c r="C121" s="21">
        <v>4.0999999999999996</v>
      </c>
      <c r="E121">
        <v>3.4</v>
      </c>
      <c r="G121">
        <v>3.6</v>
      </c>
      <c r="H121" s="21" t="s">
        <v>56</v>
      </c>
      <c r="I121" s="33">
        <v>4.0999999999999996</v>
      </c>
      <c r="J121" s="15" t="s">
        <v>56</v>
      </c>
      <c r="K121" s="34">
        <v>4.0999999999999996</v>
      </c>
      <c r="L121" s="15" t="s">
        <v>56</v>
      </c>
      <c r="M121" s="35">
        <v>4.8</v>
      </c>
      <c r="N121" s="15" t="s">
        <v>56</v>
      </c>
      <c r="O121" s="35">
        <v>4.7</v>
      </c>
      <c r="P121" s="15" t="s">
        <v>56</v>
      </c>
      <c r="Q121" s="35">
        <v>4.8</v>
      </c>
      <c r="R121" s="15" t="s">
        <v>56</v>
      </c>
      <c r="S121" s="35">
        <v>4.9000000000000004</v>
      </c>
      <c r="T121" s="15" t="s">
        <v>56</v>
      </c>
      <c r="U121" s="35">
        <v>4.7</v>
      </c>
      <c r="V121" s="15" t="s">
        <v>56</v>
      </c>
      <c r="W121" s="34">
        <v>5.62</v>
      </c>
      <c r="X121" s="15" t="s">
        <v>56</v>
      </c>
      <c r="Y121" s="56">
        <v>10.4</v>
      </c>
      <c r="Z121" s="15" t="s">
        <v>58</v>
      </c>
      <c r="AA121" s="53">
        <v>13.05</v>
      </c>
      <c r="AB121" s="15" t="s">
        <v>60</v>
      </c>
      <c r="AC121" s="53">
        <v>14.77</v>
      </c>
      <c r="AD121" s="60" t="s">
        <v>60</v>
      </c>
      <c r="AE121" s="65">
        <v>18.100000000000001</v>
      </c>
      <c r="AF121" s="60" t="s">
        <v>60</v>
      </c>
    </row>
    <row r="122" spans="1:32" ht="15.75" customHeight="1">
      <c r="A122" s="21">
        <v>118</v>
      </c>
      <c r="B122" s="21">
        <v>4.5999999999999996</v>
      </c>
      <c r="C122" s="21">
        <v>3.9</v>
      </c>
      <c r="E122">
        <v>3.3</v>
      </c>
      <c r="G122">
        <v>3.8</v>
      </c>
      <c r="H122" s="21" t="s">
        <v>56</v>
      </c>
      <c r="I122" s="33">
        <v>4.5</v>
      </c>
      <c r="J122" s="15" t="s">
        <v>56</v>
      </c>
      <c r="K122" s="34">
        <v>4.5</v>
      </c>
      <c r="L122" s="15" t="s">
        <v>56</v>
      </c>
      <c r="M122" s="35">
        <v>4.5999999999999996</v>
      </c>
      <c r="N122" s="15" t="s">
        <v>56</v>
      </c>
      <c r="O122" s="35">
        <v>4.9000000000000004</v>
      </c>
      <c r="P122" s="15" t="s">
        <v>56</v>
      </c>
      <c r="Q122" s="35">
        <v>4.7</v>
      </c>
      <c r="R122" s="15" t="s">
        <v>56</v>
      </c>
      <c r="S122" s="35">
        <v>4.8</v>
      </c>
      <c r="T122" s="15" t="s">
        <v>56</v>
      </c>
      <c r="U122" s="35">
        <v>5.01</v>
      </c>
      <c r="V122" s="15" t="s">
        <v>56</v>
      </c>
      <c r="W122" s="34">
        <v>6.95</v>
      </c>
      <c r="X122" s="15" t="s">
        <v>56</v>
      </c>
      <c r="Y122" s="56">
        <v>11.88</v>
      </c>
      <c r="Z122" s="15" t="s">
        <v>58</v>
      </c>
      <c r="AA122" s="53">
        <v>14.29</v>
      </c>
      <c r="AB122" s="15" t="s">
        <v>60</v>
      </c>
      <c r="AC122" s="53">
        <v>15.51</v>
      </c>
      <c r="AD122" s="60" t="s">
        <v>60</v>
      </c>
      <c r="AE122" s="65">
        <v>17.5</v>
      </c>
      <c r="AF122" s="60" t="s">
        <v>60</v>
      </c>
    </row>
    <row r="123" spans="1:32" ht="15.75" customHeight="1">
      <c r="A123" s="21">
        <v>119</v>
      </c>
      <c r="B123" s="21">
        <v>4.5</v>
      </c>
      <c r="C123" s="21">
        <v>3.6</v>
      </c>
      <c r="E123">
        <v>3.4</v>
      </c>
      <c r="G123">
        <v>4.0999999999999996</v>
      </c>
      <c r="H123" s="21" t="s">
        <v>56</v>
      </c>
      <c r="I123" s="33">
        <v>4.3</v>
      </c>
      <c r="J123" s="15" t="s">
        <v>56</v>
      </c>
      <c r="K123" s="34">
        <v>4.2</v>
      </c>
      <c r="L123" s="15" t="s">
        <v>56</v>
      </c>
      <c r="M123" s="35">
        <v>4.5999999999999996</v>
      </c>
      <c r="N123" s="15" t="s">
        <v>56</v>
      </c>
      <c r="O123" s="35">
        <v>4.5999999999999996</v>
      </c>
      <c r="P123" s="15" t="s">
        <v>56</v>
      </c>
      <c r="Q123" s="35">
        <v>4.9000000000000004</v>
      </c>
      <c r="R123" s="15" t="s">
        <v>56</v>
      </c>
      <c r="S123" s="35">
        <v>4.9000000000000004</v>
      </c>
      <c r="T123" s="15" t="s">
        <v>56</v>
      </c>
      <c r="U123" s="35">
        <v>5.08</v>
      </c>
      <c r="V123" s="15" t="s">
        <v>56</v>
      </c>
      <c r="W123" s="34">
        <v>6.57</v>
      </c>
      <c r="X123" s="15" t="s">
        <v>56</v>
      </c>
      <c r="Y123" s="56">
        <v>11.07</v>
      </c>
      <c r="Z123" s="15" t="s">
        <v>58</v>
      </c>
      <c r="AA123" s="53">
        <v>13.93</v>
      </c>
      <c r="AB123" s="15" t="s">
        <v>60</v>
      </c>
      <c r="AC123" s="53">
        <v>14.82</v>
      </c>
      <c r="AD123" s="60" t="s">
        <v>60</v>
      </c>
      <c r="AE123" s="65">
        <v>17</v>
      </c>
      <c r="AF123" s="60" t="s">
        <v>60</v>
      </c>
    </row>
    <row r="124" spans="1:32" ht="15.75" customHeight="1">
      <c r="A124" s="21">
        <v>120</v>
      </c>
      <c r="B124" s="21">
        <v>4.4000000000000004</v>
      </c>
      <c r="C124" s="21">
        <v>4.7</v>
      </c>
      <c r="E124">
        <v>3.4</v>
      </c>
      <c r="G124">
        <v>3.5</v>
      </c>
      <c r="H124" s="21" t="s">
        <v>56</v>
      </c>
      <c r="I124" s="33">
        <v>3.9</v>
      </c>
      <c r="J124" s="15" t="s">
        <v>56</v>
      </c>
      <c r="K124" s="67"/>
      <c r="L124" s="15" t="s">
        <v>145</v>
      </c>
      <c r="M124" s="67"/>
      <c r="N124" s="15" t="s">
        <v>145</v>
      </c>
      <c r="O124" s="67"/>
      <c r="P124" s="15" t="s">
        <v>145</v>
      </c>
      <c r="Q124" s="67"/>
      <c r="R124" s="15" t="s">
        <v>145</v>
      </c>
      <c r="S124" s="35">
        <v>4.9000000000000004</v>
      </c>
      <c r="T124" s="15" t="s">
        <v>56</v>
      </c>
      <c r="U124" s="35">
        <v>4.71</v>
      </c>
      <c r="V124" s="15" t="s">
        <v>56</v>
      </c>
      <c r="W124" s="34">
        <v>5.69</v>
      </c>
      <c r="X124" s="15" t="s">
        <v>56</v>
      </c>
      <c r="Y124" s="58">
        <v>12.12</v>
      </c>
      <c r="Z124" s="15" t="s">
        <v>60</v>
      </c>
      <c r="AA124" s="53">
        <v>14.69</v>
      </c>
      <c r="AB124" s="15" t="s">
        <v>60</v>
      </c>
      <c r="AC124" s="53">
        <v>16.11</v>
      </c>
      <c r="AD124" s="60" t="s">
        <v>60</v>
      </c>
      <c r="AE124" s="65">
        <v>18.3</v>
      </c>
      <c r="AF124" s="60" t="s">
        <v>60</v>
      </c>
    </row>
    <row r="125" spans="1:32" ht="15.75" customHeight="1">
      <c r="C125" s="21"/>
    </row>
    <row r="126" spans="1:32" ht="15.75" customHeight="1">
      <c r="C126" s="21"/>
      <c r="Y126">
        <f>COUNTIF(Y5:Y124,"&lt;=9")</f>
        <v>62</v>
      </c>
      <c r="Z126" s="15" t="s">
        <v>56</v>
      </c>
      <c r="AA126">
        <f>COUNTIF(AA5:AA124,"&lt;=9")</f>
        <v>49</v>
      </c>
      <c r="AB126" s="15" t="s">
        <v>56</v>
      </c>
      <c r="AC126">
        <f>COUNTIF(AC5:AC124,"&lt;=9")</f>
        <v>46</v>
      </c>
      <c r="AD126" s="15" t="s">
        <v>56</v>
      </c>
      <c r="AE126" s="95">
        <f>COUNTIF(AE5:AE124,"&lt;=9")</f>
        <v>40</v>
      </c>
      <c r="AF126" s="15" t="s">
        <v>56</v>
      </c>
    </row>
    <row r="127" spans="1:32" ht="15.75" customHeight="1">
      <c r="C127" s="21"/>
      <c r="Y127" s="68">
        <f>120-(Y126+Y128)</f>
        <v>34</v>
      </c>
      <c r="Z127" s="15" t="s">
        <v>58</v>
      </c>
      <c r="AA127" s="68">
        <f>120-(AA126+AA128)</f>
        <v>29</v>
      </c>
      <c r="AB127" s="15" t="s">
        <v>58</v>
      </c>
      <c r="AC127" s="68">
        <f>120-(AC126+AC128)</f>
        <v>26</v>
      </c>
      <c r="AD127" s="15" t="s">
        <v>58</v>
      </c>
      <c r="AE127" s="68">
        <f>120-(AE126+AE128)</f>
        <v>18</v>
      </c>
      <c r="AF127" s="15" t="s">
        <v>58</v>
      </c>
    </row>
    <row r="128" spans="1:32" ht="15.75" customHeight="1">
      <c r="C128" s="21"/>
      <c r="Y128" s="67">
        <f>COUNTIF(Y5:Y124,"&gt;12")</f>
        <v>24</v>
      </c>
      <c r="Z128" s="15" t="s">
        <v>60</v>
      </c>
      <c r="AA128" s="67">
        <f>COUNTIF(AA5:AA124,"&gt;12")</f>
        <v>42</v>
      </c>
      <c r="AB128" s="15" t="s">
        <v>60</v>
      </c>
      <c r="AC128" s="67">
        <f>COUNTIF(AC5:AC124,"&gt;12")</f>
        <v>48</v>
      </c>
      <c r="AD128" s="15" t="s">
        <v>60</v>
      </c>
      <c r="AE128" s="67">
        <f>COUNTIF(AE5:AE124,"&gt;12")</f>
        <v>62</v>
      </c>
      <c r="AF128" s="15" t="s">
        <v>60</v>
      </c>
    </row>
    <row r="129" spans="3:32" ht="15.75" customHeight="1">
      <c r="C129" s="21"/>
      <c r="Y129">
        <f>Y127+Y128</f>
        <v>58</v>
      </c>
      <c r="Z129" s="15" t="s">
        <v>113</v>
      </c>
      <c r="AA129">
        <f>AA127+AA128</f>
        <v>71</v>
      </c>
      <c r="AB129" s="15" t="s">
        <v>113</v>
      </c>
      <c r="AC129">
        <f>AC127+AC128</f>
        <v>74</v>
      </c>
      <c r="AD129" s="15" t="s">
        <v>113</v>
      </c>
      <c r="AE129" s="95">
        <f>AE127+AE128</f>
        <v>80</v>
      </c>
      <c r="AF129" s="15" t="s">
        <v>113</v>
      </c>
    </row>
    <row r="130" spans="3:32" ht="15.75" customHeight="1">
      <c r="C130" s="21"/>
    </row>
    <row r="131" spans="3:32" ht="15.75" customHeight="1">
      <c r="C131" s="21"/>
    </row>
    <row r="132" spans="3:32" ht="15.75" customHeight="1">
      <c r="C132" s="21"/>
    </row>
    <row r="133" spans="3:32" ht="15.75" customHeight="1">
      <c r="C133" s="21"/>
    </row>
    <row r="134" spans="3:32" ht="15.75" customHeight="1">
      <c r="C134" s="21"/>
    </row>
    <row r="135" spans="3:32" ht="15.75" customHeight="1">
      <c r="C135" s="21"/>
    </row>
    <row r="136" spans="3:32" ht="15.75" customHeight="1">
      <c r="C136" s="21"/>
    </row>
    <row r="137" spans="3:32" ht="15.75" customHeight="1">
      <c r="C137" s="21"/>
    </row>
    <row r="138" spans="3:32" ht="15.75" customHeight="1">
      <c r="C138" s="21"/>
    </row>
    <row r="139" spans="3:32" ht="15.75" customHeight="1">
      <c r="C139" s="21"/>
    </row>
    <row r="140" spans="3:32" ht="15.75" customHeight="1">
      <c r="C140" s="21"/>
    </row>
    <row r="141" spans="3:32" ht="15.75" customHeight="1">
      <c r="C141" s="21"/>
    </row>
    <row r="142" spans="3:32" ht="15.75" customHeight="1">
      <c r="C142" s="21"/>
    </row>
    <row r="143" spans="3:32" ht="15.75" customHeight="1">
      <c r="C143" s="21"/>
    </row>
    <row r="144" spans="3:32" ht="15.75" customHeight="1">
      <c r="C144" s="21"/>
    </row>
    <row r="145" spans="3:3" ht="15.75" customHeight="1">
      <c r="C145" s="21"/>
    </row>
    <row r="146" spans="3:3" ht="15.75" customHeight="1">
      <c r="C146" s="21"/>
    </row>
    <row r="147" spans="3:3" ht="15.75" customHeight="1">
      <c r="C147" s="21"/>
    </row>
    <row r="148" spans="3:3" ht="15.75" customHeight="1">
      <c r="C148" s="21"/>
    </row>
    <row r="149" spans="3:3" ht="15.75" customHeight="1">
      <c r="C149" s="21"/>
    </row>
    <row r="150" spans="3:3" ht="15.75" customHeight="1">
      <c r="C150" s="21"/>
    </row>
    <row r="151" spans="3:3" ht="15.75" customHeight="1">
      <c r="C151" s="21"/>
    </row>
    <row r="152" spans="3:3" ht="15.75" customHeight="1">
      <c r="C152" s="21"/>
    </row>
    <row r="153" spans="3:3" ht="15.75" customHeight="1">
      <c r="C153" s="21"/>
    </row>
    <row r="154" spans="3:3" ht="15.75" customHeight="1">
      <c r="C154" s="21"/>
    </row>
    <row r="155" spans="3:3" ht="15.75" customHeight="1">
      <c r="C155" s="21"/>
    </row>
    <row r="156" spans="3:3" ht="15.75" customHeight="1">
      <c r="C156" s="21"/>
    </row>
    <row r="157" spans="3:3" ht="15.75" customHeight="1">
      <c r="C157" s="21"/>
    </row>
    <row r="158" spans="3:3" ht="15.75" customHeight="1">
      <c r="C158" s="21"/>
    </row>
    <row r="159" spans="3:3" ht="15.75" customHeight="1">
      <c r="C159" s="21"/>
    </row>
    <row r="160" spans="3:3" ht="15.75" customHeight="1">
      <c r="C160" s="21"/>
    </row>
    <row r="161" spans="3:3" ht="15.75" customHeight="1">
      <c r="C161" s="21"/>
    </row>
    <row r="162" spans="3:3" ht="15.75" customHeight="1">
      <c r="C162" s="21"/>
    </row>
    <row r="163" spans="3:3" ht="15.75" customHeight="1">
      <c r="C163" s="21"/>
    </row>
    <row r="164" spans="3:3" ht="15.75" customHeight="1">
      <c r="C164" s="21"/>
    </row>
    <row r="165" spans="3:3" ht="15.75" customHeight="1">
      <c r="C165" s="21"/>
    </row>
    <row r="166" spans="3:3" ht="15.75" customHeight="1">
      <c r="C166" s="21"/>
    </row>
    <row r="167" spans="3:3" ht="15.75" customHeight="1">
      <c r="C167" s="21"/>
    </row>
    <row r="168" spans="3:3" ht="15.75" customHeight="1">
      <c r="C168" s="21"/>
    </row>
    <row r="169" spans="3:3" ht="15.75" customHeight="1">
      <c r="C169" s="21"/>
    </row>
    <row r="170" spans="3:3" ht="15.75" customHeight="1">
      <c r="C170" s="21"/>
    </row>
    <row r="171" spans="3:3" ht="15.75" customHeight="1">
      <c r="C171" s="21"/>
    </row>
    <row r="172" spans="3:3" ht="15.75" customHeight="1">
      <c r="C172" s="21"/>
    </row>
    <row r="173" spans="3:3" ht="15.75" customHeight="1">
      <c r="C173" s="21"/>
    </row>
    <row r="174" spans="3:3" ht="15.75" customHeight="1">
      <c r="C174" s="21"/>
    </row>
    <row r="175" spans="3:3" ht="15.75" customHeight="1">
      <c r="C175" s="21"/>
    </row>
    <row r="176" spans="3:3" ht="15.75" customHeight="1">
      <c r="C176" s="21"/>
    </row>
    <row r="177" spans="3:3" ht="15.75" customHeight="1">
      <c r="C177" s="21"/>
    </row>
    <row r="178" spans="3:3" ht="15.75" customHeight="1">
      <c r="C178" s="21"/>
    </row>
    <row r="179" spans="3:3" ht="15.75" customHeight="1">
      <c r="C179" s="21"/>
    </row>
    <row r="180" spans="3:3" ht="15.75" customHeight="1">
      <c r="C180" s="21"/>
    </row>
    <row r="181" spans="3:3" ht="15.75" customHeight="1">
      <c r="C181" s="21"/>
    </row>
    <row r="182" spans="3:3" ht="15.75" customHeight="1">
      <c r="C182" s="21"/>
    </row>
    <row r="183" spans="3:3" ht="15.75" customHeight="1">
      <c r="C183" s="21"/>
    </row>
    <row r="184" spans="3:3" ht="15.75" customHeight="1">
      <c r="C184" s="21"/>
    </row>
    <row r="185" spans="3:3" ht="15.75" customHeight="1">
      <c r="C185" s="21"/>
    </row>
    <row r="186" spans="3:3" ht="15.75" customHeight="1">
      <c r="C186" s="21"/>
    </row>
    <row r="187" spans="3:3" ht="15.75" customHeight="1">
      <c r="C187" s="21"/>
    </row>
    <row r="188" spans="3:3" ht="15.75" customHeight="1">
      <c r="C188" s="21"/>
    </row>
    <row r="189" spans="3:3" ht="15.75" customHeight="1">
      <c r="C189" s="21"/>
    </row>
    <row r="190" spans="3:3" ht="15.75" customHeight="1">
      <c r="C190" s="21"/>
    </row>
    <row r="191" spans="3:3" ht="15.75" customHeight="1">
      <c r="C191" s="21"/>
    </row>
    <row r="192" spans="3:3" ht="15.75" customHeight="1">
      <c r="C192" s="21"/>
    </row>
    <row r="193" spans="3:3" ht="15.75" customHeight="1">
      <c r="C193" s="21"/>
    </row>
    <row r="194" spans="3:3" ht="15.75" customHeight="1">
      <c r="C194" s="21"/>
    </row>
    <row r="195" spans="3:3" ht="15.75" customHeight="1">
      <c r="C195" s="21"/>
    </row>
    <row r="196" spans="3:3" ht="15.75" customHeight="1">
      <c r="C196" s="21"/>
    </row>
    <row r="197" spans="3:3" ht="15.75" customHeight="1">
      <c r="C197" s="21"/>
    </row>
    <row r="198" spans="3:3" ht="15.75" customHeight="1">
      <c r="C198" s="21"/>
    </row>
    <row r="199" spans="3:3" ht="15.75" customHeight="1">
      <c r="C199" s="21"/>
    </row>
    <row r="200" spans="3:3" ht="15.75" customHeight="1">
      <c r="C200" s="21"/>
    </row>
    <row r="201" spans="3:3" ht="15.75" customHeight="1">
      <c r="C201" s="21"/>
    </row>
    <row r="202" spans="3:3" ht="15.75" customHeight="1">
      <c r="C202" s="21"/>
    </row>
    <row r="203" spans="3:3" ht="15.75" customHeight="1">
      <c r="C203" s="21"/>
    </row>
    <row r="204" spans="3:3" ht="15.75" customHeight="1">
      <c r="C204" s="21"/>
    </row>
    <row r="205" spans="3:3" ht="15.75" customHeight="1">
      <c r="C205" s="21"/>
    </row>
    <row r="206" spans="3:3" ht="15.75" customHeight="1">
      <c r="C206" s="21"/>
    </row>
    <row r="207" spans="3:3" ht="15.75" customHeight="1">
      <c r="C207" s="21"/>
    </row>
    <row r="208" spans="3:3" ht="15.75" customHeight="1">
      <c r="C208" s="21"/>
    </row>
    <row r="209" spans="3:3" ht="15.75" customHeight="1">
      <c r="C209" s="21"/>
    </row>
    <row r="210" spans="3:3" ht="15.75" customHeight="1">
      <c r="C210" s="21"/>
    </row>
    <row r="211" spans="3:3" ht="15.75" customHeight="1">
      <c r="C211" s="21"/>
    </row>
    <row r="212" spans="3:3" ht="15.75" customHeight="1">
      <c r="C212" s="21"/>
    </row>
    <row r="213" spans="3:3" ht="15.75" customHeight="1">
      <c r="C213" s="21"/>
    </row>
    <row r="214" spans="3:3" ht="15.75" customHeight="1">
      <c r="C214" s="21"/>
    </row>
    <row r="215" spans="3:3" ht="15.75" customHeight="1">
      <c r="C215" s="21"/>
    </row>
    <row r="216" spans="3:3" ht="15.75" customHeight="1">
      <c r="C216" s="21"/>
    </row>
    <row r="217" spans="3:3" ht="15.75" customHeight="1">
      <c r="C217" s="21"/>
    </row>
    <row r="218" spans="3:3" ht="15.75" customHeight="1">
      <c r="C218" s="21"/>
    </row>
    <row r="219" spans="3:3" ht="15.75" customHeight="1">
      <c r="C219" s="21"/>
    </row>
    <row r="220" spans="3:3" ht="15.75" customHeight="1">
      <c r="C220" s="21"/>
    </row>
    <row r="221" spans="3:3" ht="15.75" customHeight="1">
      <c r="C221" s="21"/>
    </row>
    <row r="222" spans="3:3" ht="15.75" customHeight="1">
      <c r="C222" s="21"/>
    </row>
    <row r="223" spans="3:3" ht="15.75" customHeight="1">
      <c r="C223" s="21"/>
    </row>
    <row r="224" spans="3:3" ht="15.75" customHeight="1">
      <c r="C224" s="21"/>
    </row>
    <row r="225" spans="3:3" ht="15.75" customHeight="1">
      <c r="C225" s="21"/>
    </row>
    <row r="226" spans="3:3" ht="15.75" customHeight="1">
      <c r="C226" s="21"/>
    </row>
    <row r="227" spans="3:3" ht="15.75" customHeight="1">
      <c r="C227" s="21"/>
    </row>
    <row r="228" spans="3:3" ht="15.75" customHeight="1">
      <c r="C228" s="21"/>
    </row>
    <row r="229" spans="3:3" ht="15.75" customHeight="1">
      <c r="C229" s="21"/>
    </row>
    <row r="230" spans="3:3" ht="15.75" customHeight="1">
      <c r="C230" s="21"/>
    </row>
    <row r="231" spans="3:3" ht="15.75" customHeight="1">
      <c r="C231" s="21"/>
    </row>
    <row r="232" spans="3:3" ht="15.75" customHeight="1">
      <c r="C232" s="21"/>
    </row>
    <row r="233" spans="3:3" ht="15.75" customHeight="1">
      <c r="C233" s="21"/>
    </row>
    <row r="234" spans="3:3" ht="15.75" customHeight="1">
      <c r="C234" s="21"/>
    </row>
    <row r="235" spans="3:3" ht="15.75" customHeight="1">
      <c r="C235" s="21"/>
    </row>
    <row r="236" spans="3:3" ht="15.75" customHeight="1">
      <c r="C236" s="21"/>
    </row>
    <row r="237" spans="3:3" ht="15.75" customHeight="1">
      <c r="C237" s="21"/>
    </row>
    <row r="238" spans="3:3" ht="15.75" customHeight="1">
      <c r="C238" s="21"/>
    </row>
    <row r="239" spans="3:3" ht="15.75" customHeight="1">
      <c r="C239" s="21"/>
    </row>
    <row r="240" spans="3:3" ht="15.75" customHeight="1">
      <c r="C240" s="21"/>
    </row>
    <row r="241" spans="3:3" ht="15.75" customHeight="1">
      <c r="C241" s="21"/>
    </row>
    <row r="242" spans="3:3" ht="15.75" customHeight="1">
      <c r="C242" s="21"/>
    </row>
    <row r="243" spans="3:3" ht="15.75" customHeight="1">
      <c r="C243" s="21"/>
    </row>
    <row r="244" spans="3:3" ht="15.75" customHeight="1">
      <c r="C244" s="21"/>
    </row>
    <row r="245" spans="3:3" ht="15.75" customHeight="1">
      <c r="C245" s="21"/>
    </row>
    <row r="246" spans="3:3" ht="15.75" customHeight="1">
      <c r="C246" s="21"/>
    </row>
    <row r="247" spans="3:3" ht="15.75" customHeight="1">
      <c r="C247" s="21"/>
    </row>
    <row r="248" spans="3:3" ht="15.75" customHeight="1">
      <c r="C248" s="21"/>
    </row>
    <row r="249" spans="3:3" ht="15.75" customHeight="1">
      <c r="C249" s="21"/>
    </row>
    <row r="250" spans="3:3" ht="15.75" customHeight="1">
      <c r="C250" s="21"/>
    </row>
    <row r="251" spans="3:3" ht="15.75" customHeight="1">
      <c r="C251" s="21"/>
    </row>
    <row r="252" spans="3:3" ht="15.75" customHeight="1">
      <c r="C252" s="21"/>
    </row>
    <row r="253" spans="3:3" ht="15.75" customHeight="1">
      <c r="C253" s="21"/>
    </row>
    <row r="254" spans="3:3" ht="15.75" customHeight="1">
      <c r="C254" s="21"/>
    </row>
    <row r="255" spans="3:3" ht="15.75" customHeight="1">
      <c r="C255" s="21"/>
    </row>
    <row r="256" spans="3:3" ht="15.75" customHeight="1">
      <c r="C256" s="21"/>
    </row>
    <row r="257" spans="3:3" ht="15.75" customHeight="1">
      <c r="C257" s="21"/>
    </row>
    <row r="258" spans="3:3" ht="15.75" customHeight="1">
      <c r="C258" s="21"/>
    </row>
    <row r="259" spans="3:3" ht="15.75" customHeight="1">
      <c r="C259" s="21"/>
    </row>
    <row r="260" spans="3:3" ht="15.75" customHeight="1">
      <c r="C260" s="21"/>
    </row>
    <row r="261" spans="3:3" ht="15.75" customHeight="1">
      <c r="C261" s="21"/>
    </row>
    <row r="262" spans="3:3" ht="15.75" customHeight="1">
      <c r="C262" s="21"/>
    </row>
    <row r="263" spans="3:3" ht="15.75" customHeight="1">
      <c r="C263" s="21"/>
    </row>
    <row r="264" spans="3:3" ht="15.75" customHeight="1">
      <c r="C264" s="21"/>
    </row>
    <row r="265" spans="3:3" ht="15.75" customHeight="1">
      <c r="C265" s="21"/>
    </row>
    <row r="266" spans="3:3" ht="15.75" customHeight="1">
      <c r="C266" s="21"/>
    </row>
    <row r="267" spans="3:3" ht="15.75" customHeight="1">
      <c r="C267" s="21"/>
    </row>
    <row r="268" spans="3:3" ht="15.75" customHeight="1">
      <c r="C268" s="21"/>
    </row>
    <row r="269" spans="3:3" ht="15.75" customHeight="1">
      <c r="C269" s="21"/>
    </row>
    <row r="270" spans="3:3" ht="15.75" customHeight="1">
      <c r="C270" s="21"/>
    </row>
    <row r="271" spans="3:3" ht="15.75" customHeight="1">
      <c r="C271" s="21"/>
    </row>
    <row r="272" spans="3:3" ht="15.75" customHeight="1">
      <c r="C272" s="21"/>
    </row>
    <row r="273" spans="3:3" ht="15.75" customHeight="1">
      <c r="C273" s="21"/>
    </row>
    <row r="274" spans="3:3" ht="15.75" customHeight="1">
      <c r="C274" s="21"/>
    </row>
    <row r="275" spans="3:3" ht="15.75" customHeight="1">
      <c r="C275" s="21"/>
    </row>
    <row r="276" spans="3:3" ht="15.75" customHeight="1">
      <c r="C276" s="21"/>
    </row>
    <row r="277" spans="3:3" ht="15.75" customHeight="1">
      <c r="C277" s="21"/>
    </row>
    <row r="278" spans="3:3" ht="15.75" customHeight="1">
      <c r="C278" s="21"/>
    </row>
    <row r="279" spans="3:3" ht="15.75" customHeight="1">
      <c r="C279" s="21"/>
    </row>
    <row r="280" spans="3:3" ht="15.75" customHeight="1">
      <c r="C280" s="21"/>
    </row>
    <row r="281" spans="3:3" ht="15.75" customHeight="1">
      <c r="C281" s="21"/>
    </row>
    <row r="282" spans="3:3" ht="15.75" customHeight="1">
      <c r="C282" s="21"/>
    </row>
    <row r="283" spans="3:3" ht="15.75" customHeight="1">
      <c r="C283" s="21"/>
    </row>
    <row r="284" spans="3:3" ht="15.75" customHeight="1">
      <c r="C284" s="21"/>
    </row>
    <row r="285" spans="3:3" ht="15.75" customHeight="1">
      <c r="C285" s="21"/>
    </row>
    <row r="286" spans="3:3" ht="15.75" customHeight="1">
      <c r="C286" s="21"/>
    </row>
    <row r="287" spans="3:3" ht="15.75" customHeight="1">
      <c r="C287" s="21"/>
    </row>
    <row r="288" spans="3:3" ht="15.75" customHeight="1">
      <c r="C288" s="21"/>
    </row>
    <row r="289" spans="3:3" ht="15.75" customHeight="1">
      <c r="C289" s="21"/>
    </row>
    <row r="290" spans="3:3" ht="15.75" customHeight="1">
      <c r="C290" s="21"/>
    </row>
    <row r="291" spans="3:3" ht="15.75" customHeight="1">
      <c r="C291" s="21"/>
    </row>
    <row r="292" spans="3:3" ht="15.75" customHeight="1">
      <c r="C292" s="21"/>
    </row>
    <row r="293" spans="3:3" ht="15.75" customHeight="1">
      <c r="C293" s="21"/>
    </row>
    <row r="294" spans="3:3" ht="15.75" customHeight="1">
      <c r="C294" s="21"/>
    </row>
    <row r="295" spans="3:3" ht="15.75" customHeight="1">
      <c r="C295" s="21"/>
    </row>
    <row r="296" spans="3:3" ht="15.75" customHeight="1">
      <c r="C296" s="21"/>
    </row>
    <row r="297" spans="3:3" ht="15.75" customHeight="1">
      <c r="C297" s="21"/>
    </row>
    <row r="298" spans="3:3" ht="15.75" customHeight="1">
      <c r="C298" s="21"/>
    </row>
    <row r="299" spans="3:3" ht="15.75" customHeight="1">
      <c r="C299" s="21"/>
    </row>
    <row r="300" spans="3:3" ht="15.75" customHeight="1">
      <c r="C300" s="21"/>
    </row>
    <row r="301" spans="3:3" ht="15.75" customHeight="1">
      <c r="C301" s="21"/>
    </row>
    <row r="302" spans="3:3" ht="15.75" customHeight="1">
      <c r="C302" s="21"/>
    </row>
    <row r="303" spans="3:3" ht="15.75" customHeight="1">
      <c r="C303" s="21"/>
    </row>
    <row r="304" spans="3:3" ht="15.75" customHeight="1">
      <c r="C304" s="21"/>
    </row>
    <row r="305" spans="3:3" ht="15.75" customHeight="1">
      <c r="C305" s="21"/>
    </row>
    <row r="306" spans="3:3" ht="15.75" customHeight="1">
      <c r="C306" s="21"/>
    </row>
    <row r="307" spans="3:3" ht="15.75" customHeight="1">
      <c r="C307" s="21"/>
    </row>
    <row r="308" spans="3:3" ht="15.75" customHeight="1">
      <c r="C308" s="21"/>
    </row>
    <row r="309" spans="3:3" ht="15.75" customHeight="1">
      <c r="C309" s="21"/>
    </row>
    <row r="310" spans="3:3" ht="15.75" customHeight="1">
      <c r="C310" s="21"/>
    </row>
    <row r="311" spans="3:3" ht="15.75" customHeight="1">
      <c r="C311" s="21"/>
    </row>
    <row r="312" spans="3:3" ht="15.75" customHeight="1">
      <c r="C312" s="21"/>
    </row>
    <row r="313" spans="3:3" ht="15.75" customHeight="1">
      <c r="C313" s="21"/>
    </row>
    <row r="314" spans="3:3" ht="15.75" customHeight="1">
      <c r="C314" s="21"/>
    </row>
    <row r="315" spans="3:3" ht="15.75" customHeight="1">
      <c r="C315" s="21"/>
    </row>
    <row r="316" spans="3:3" ht="15.75" customHeight="1">
      <c r="C316" s="21"/>
    </row>
    <row r="317" spans="3:3" ht="15.75" customHeight="1">
      <c r="C317" s="21"/>
    </row>
    <row r="318" spans="3:3" ht="15.75" customHeight="1">
      <c r="C318" s="21"/>
    </row>
    <row r="319" spans="3:3" ht="15.75" customHeight="1">
      <c r="C319" s="21"/>
    </row>
    <row r="320" spans="3:3" ht="15.75" customHeight="1">
      <c r="C320" s="21"/>
    </row>
    <row r="321" spans="3:3" ht="15.75" customHeight="1">
      <c r="C321" s="21"/>
    </row>
    <row r="322" spans="3:3" ht="15.75" customHeight="1">
      <c r="C322" s="21"/>
    </row>
    <row r="323" spans="3:3" ht="15.75" customHeight="1">
      <c r="C323" s="21"/>
    </row>
    <row r="324" spans="3:3" ht="15.75" customHeight="1">
      <c r="C324" s="21"/>
    </row>
    <row r="325" spans="3:3" ht="15.75" customHeight="1">
      <c r="C325" s="21"/>
    </row>
    <row r="326" spans="3:3" ht="15.75" customHeight="1">
      <c r="C326" s="21"/>
    </row>
    <row r="327" spans="3:3" ht="15.75" customHeight="1">
      <c r="C327" s="21"/>
    </row>
    <row r="328" spans="3:3" ht="15.75" customHeight="1">
      <c r="C328" s="21"/>
    </row>
    <row r="329" spans="3:3" ht="15.75" customHeight="1">
      <c r="C329" s="21"/>
    </row>
    <row r="330" spans="3:3" ht="15.75" customHeight="1">
      <c r="C330" s="21"/>
    </row>
    <row r="331" spans="3:3" ht="15.75" customHeight="1">
      <c r="C331" s="21"/>
    </row>
    <row r="332" spans="3:3" ht="15.75" customHeight="1">
      <c r="C332" s="21"/>
    </row>
    <row r="333" spans="3:3" ht="15.75" customHeight="1">
      <c r="C333" s="21"/>
    </row>
    <row r="334" spans="3:3" ht="15.75" customHeight="1">
      <c r="C334" s="21"/>
    </row>
    <row r="335" spans="3:3" ht="15.75" customHeight="1">
      <c r="C335" s="21"/>
    </row>
    <row r="336" spans="3:3" ht="15.75" customHeight="1">
      <c r="C336" s="21"/>
    </row>
    <row r="337" spans="3:3" ht="15.75" customHeight="1">
      <c r="C337" s="21"/>
    </row>
    <row r="338" spans="3:3" ht="15.75" customHeight="1">
      <c r="C338" s="21"/>
    </row>
    <row r="339" spans="3:3" ht="15.75" customHeight="1">
      <c r="C339" s="21"/>
    </row>
    <row r="340" spans="3:3" ht="15.75" customHeight="1">
      <c r="C340" s="21"/>
    </row>
    <row r="341" spans="3:3" ht="15.75" customHeight="1">
      <c r="C341" s="21"/>
    </row>
    <row r="342" spans="3:3" ht="15.75" customHeight="1">
      <c r="C342" s="21"/>
    </row>
    <row r="343" spans="3:3" ht="15.75" customHeight="1">
      <c r="C343" s="21"/>
    </row>
    <row r="344" spans="3:3" ht="15.75" customHeight="1">
      <c r="C344" s="21"/>
    </row>
    <row r="345" spans="3:3" ht="15.75" customHeight="1">
      <c r="C345" s="21"/>
    </row>
    <row r="346" spans="3:3" ht="15.75" customHeight="1">
      <c r="C346" s="21"/>
    </row>
    <row r="347" spans="3:3" ht="15.75" customHeight="1">
      <c r="C347" s="21"/>
    </row>
    <row r="348" spans="3:3" ht="15.75" customHeight="1">
      <c r="C348" s="21"/>
    </row>
    <row r="349" spans="3:3" ht="15.75" customHeight="1">
      <c r="C349" s="21"/>
    </row>
    <row r="350" spans="3:3" ht="15.75" customHeight="1">
      <c r="C350" s="21"/>
    </row>
    <row r="351" spans="3:3" ht="15.75" customHeight="1">
      <c r="C351" s="21"/>
    </row>
    <row r="352" spans="3:3" ht="15.75" customHeight="1">
      <c r="C352" s="21"/>
    </row>
    <row r="353" spans="3:3" ht="15.75" customHeight="1">
      <c r="C353" s="21"/>
    </row>
    <row r="354" spans="3:3" ht="15.75" customHeight="1">
      <c r="C354" s="21"/>
    </row>
    <row r="355" spans="3:3" ht="15.75" customHeight="1">
      <c r="C355" s="21"/>
    </row>
    <row r="356" spans="3:3" ht="15.75" customHeight="1">
      <c r="C356" s="21"/>
    </row>
    <row r="357" spans="3:3" ht="15.75" customHeight="1">
      <c r="C357" s="21"/>
    </row>
    <row r="358" spans="3:3" ht="15.75" customHeight="1">
      <c r="C358" s="21"/>
    </row>
    <row r="359" spans="3:3" ht="15.75" customHeight="1">
      <c r="C359" s="21"/>
    </row>
    <row r="360" spans="3:3" ht="15.75" customHeight="1">
      <c r="C360" s="21"/>
    </row>
    <row r="361" spans="3:3" ht="15.75" customHeight="1">
      <c r="C361" s="21"/>
    </row>
    <row r="362" spans="3:3" ht="15.75" customHeight="1">
      <c r="C362" s="21"/>
    </row>
    <row r="363" spans="3:3" ht="15.75" customHeight="1">
      <c r="C363" s="21"/>
    </row>
    <row r="364" spans="3:3" ht="15.75" customHeight="1">
      <c r="C364" s="21"/>
    </row>
    <row r="365" spans="3:3" ht="15.75" customHeight="1">
      <c r="C365" s="21"/>
    </row>
    <row r="366" spans="3:3" ht="15.75" customHeight="1">
      <c r="C366" s="21"/>
    </row>
    <row r="367" spans="3:3" ht="15.75" customHeight="1">
      <c r="C367" s="21"/>
    </row>
    <row r="368" spans="3:3" ht="15.75" customHeight="1">
      <c r="C368" s="21"/>
    </row>
    <row r="369" spans="3:3" ht="15.75" customHeight="1">
      <c r="C369" s="21"/>
    </row>
    <row r="370" spans="3:3" ht="15.75" customHeight="1">
      <c r="C370" s="21"/>
    </row>
    <row r="371" spans="3:3" ht="15.75" customHeight="1">
      <c r="C371" s="21"/>
    </row>
    <row r="372" spans="3:3" ht="15.75" customHeight="1">
      <c r="C372" s="21"/>
    </row>
    <row r="373" spans="3:3" ht="15.75" customHeight="1">
      <c r="C373" s="21"/>
    </row>
    <row r="374" spans="3:3" ht="15.75" customHeight="1">
      <c r="C374" s="21"/>
    </row>
    <row r="375" spans="3:3" ht="15.75" customHeight="1">
      <c r="C375" s="21"/>
    </row>
    <row r="376" spans="3:3" ht="15.75" customHeight="1">
      <c r="C376" s="21"/>
    </row>
    <row r="377" spans="3:3" ht="15.75" customHeight="1">
      <c r="C377" s="21"/>
    </row>
    <row r="378" spans="3:3" ht="15.75" customHeight="1">
      <c r="C378" s="21"/>
    </row>
    <row r="379" spans="3:3" ht="15.75" customHeight="1">
      <c r="C379" s="21"/>
    </row>
    <row r="380" spans="3:3" ht="15.75" customHeight="1">
      <c r="C380" s="21"/>
    </row>
    <row r="381" spans="3:3" ht="15.75" customHeight="1">
      <c r="C381" s="21"/>
    </row>
    <row r="382" spans="3:3" ht="15.75" customHeight="1">
      <c r="C382" s="21"/>
    </row>
    <row r="383" spans="3:3" ht="15.75" customHeight="1">
      <c r="C383" s="21"/>
    </row>
    <row r="384" spans="3:3" ht="15.75" customHeight="1">
      <c r="C384" s="21"/>
    </row>
    <row r="385" spans="3:3" ht="15.75" customHeight="1">
      <c r="C385" s="21"/>
    </row>
    <row r="386" spans="3:3" ht="15.75" customHeight="1">
      <c r="C386" s="21"/>
    </row>
    <row r="387" spans="3:3" ht="15.75" customHeight="1">
      <c r="C387" s="21"/>
    </row>
    <row r="388" spans="3:3" ht="15.75" customHeight="1">
      <c r="C388" s="21"/>
    </row>
    <row r="389" spans="3:3" ht="15.75" customHeight="1">
      <c r="C389" s="21"/>
    </row>
    <row r="390" spans="3:3" ht="15.75" customHeight="1">
      <c r="C390" s="21"/>
    </row>
    <row r="391" spans="3:3" ht="15.75" customHeight="1">
      <c r="C391" s="21"/>
    </row>
    <row r="392" spans="3:3" ht="15.75" customHeight="1">
      <c r="C392" s="21"/>
    </row>
    <row r="393" spans="3:3" ht="15.75" customHeight="1">
      <c r="C393" s="21"/>
    </row>
    <row r="394" spans="3:3" ht="15.75" customHeight="1">
      <c r="C394" s="21"/>
    </row>
    <row r="395" spans="3:3" ht="15.75" customHeight="1">
      <c r="C395" s="21"/>
    </row>
    <row r="396" spans="3:3" ht="15.75" customHeight="1">
      <c r="C396" s="21"/>
    </row>
    <row r="397" spans="3:3" ht="15.75" customHeight="1">
      <c r="C397" s="21"/>
    </row>
    <row r="398" spans="3:3" ht="15.75" customHeight="1">
      <c r="C398" s="21"/>
    </row>
    <row r="399" spans="3:3" ht="15.75" customHeight="1">
      <c r="C399" s="21"/>
    </row>
    <row r="400" spans="3:3" ht="15.75" customHeight="1">
      <c r="C400" s="21"/>
    </row>
    <row r="401" spans="3:3" ht="15.75" customHeight="1">
      <c r="C401" s="21"/>
    </row>
    <row r="402" spans="3:3" ht="15.75" customHeight="1">
      <c r="C402" s="21"/>
    </row>
    <row r="403" spans="3:3" ht="15.75" customHeight="1">
      <c r="C403" s="21"/>
    </row>
    <row r="404" spans="3:3" ht="15.75" customHeight="1">
      <c r="C404" s="21"/>
    </row>
    <row r="405" spans="3:3" ht="15.75" customHeight="1">
      <c r="C405" s="21"/>
    </row>
    <row r="406" spans="3:3" ht="15.75" customHeight="1">
      <c r="C406" s="21"/>
    </row>
    <row r="407" spans="3:3" ht="15.75" customHeight="1">
      <c r="C407" s="21"/>
    </row>
    <row r="408" spans="3:3" ht="15.75" customHeight="1">
      <c r="C408" s="21"/>
    </row>
    <row r="409" spans="3:3" ht="15.75" customHeight="1">
      <c r="C409" s="21"/>
    </row>
    <row r="410" spans="3:3" ht="15.75" customHeight="1">
      <c r="C410" s="21"/>
    </row>
    <row r="411" spans="3:3" ht="15.75" customHeight="1">
      <c r="C411" s="21"/>
    </row>
    <row r="412" spans="3:3" ht="15.75" customHeight="1">
      <c r="C412" s="21"/>
    </row>
    <row r="413" spans="3:3" ht="15.75" customHeight="1">
      <c r="C413" s="21"/>
    </row>
    <row r="414" spans="3:3" ht="15.75" customHeight="1">
      <c r="C414" s="21"/>
    </row>
    <row r="415" spans="3:3" ht="15.75" customHeight="1">
      <c r="C415" s="21"/>
    </row>
    <row r="416" spans="3:3" ht="15.75" customHeight="1">
      <c r="C416" s="21"/>
    </row>
    <row r="417" spans="3:3" ht="15.75" customHeight="1">
      <c r="C417" s="21"/>
    </row>
    <row r="418" spans="3:3" ht="15.75" customHeight="1">
      <c r="C418" s="21"/>
    </row>
    <row r="419" spans="3:3" ht="15.75" customHeight="1">
      <c r="C419" s="21"/>
    </row>
    <row r="420" spans="3:3" ht="15.75" customHeight="1">
      <c r="C420" s="21"/>
    </row>
    <row r="421" spans="3:3" ht="15.75" customHeight="1">
      <c r="C421" s="21"/>
    </row>
    <row r="422" spans="3:3" ht="15.75" customHeight="1">
      <c r="C422" s="21"/>
    </row>
    <row r="423" spans="3:3" ht="15.75" customHeight="1">
      <c r="C423" s="21"/>
    </row>
    <row r="424" spans="3:3" ht="15.75" customHeight="1">
      <c r="C424" s="21"/>
    </row>
    <row r="425" spans="3:3" ht="15.75" customHeight="1">
      <c r="C425" s="21"/>
    </row>
    <row r="426" spans="3:3" ht="15.75" customHeight="1">
      <c r="C426" s="21"/>
    </row>
    <row r="427" spans="3:3" ht="15.75" customHeight="1">
      <c r="C427" s="21"/>
    </row>
    <row r="428" spans="3:3" ht="15.75" customHeight="1">
      <c r="C428" s="21"/>
    </row>
    <row r="429" spans="3:3" ht="15.75" customHeight="1">
      <c r="C429" s="21"/>
    </row>
    <row r="430" spans="3:3" ht="15.75" customHeight="1">
      <c r="C430" s="21"/>
    </row>
    <row r="431" spans="3:3" ht="15.75" customHeight="1">
      <c r="C431" s="21"/>
    </row>
    <row r="432" spans="3:3" ht="15.75" customHeight="1">
      <c r="C432" s="21"/>
    </row>
    <row r="433" spans="3:3" ht="15.75" customHeight="1">
      <c r="C433" s="21"/>
    </row>
    <row r="434" spans="3:3" ht="15.75" customHeight="1">
      <c r="C434" s="21"/>
    </row>
    <row r="435" spans="3:3" ht="15.75" customHeight="1">
      <c r="C435" s="21"/>
    </row>
    <row r="436" spans="3:3" ht="15.75" customHeight="1">
      <c r="C436" s="21"/>
    </row>
    <row r="437" spans="3:3" ht="15.75" customHeight="1">
      <c r="C437" s="21"/>
    </row>
    <row r="438" spans="3:3" ht="15.75" customHeight="1">
      <c r="C438" s="21"/>
    </row>
    <row r="439" spans="3:3" ht="15.75" customHeight="1">
      <c r="C439" s="21"/>
    </row>
    <row r="440" spans="3:3" ht="15.75" customHeight="1">
      <c r="C440" s="21"/>
    </row>
    <row r="441" spans="3:3" ht="15.75" customHeight="1">
      <c r="C441" s="21"/>
    </row>
    <row r="442" spans="3:3" ht="15.75" customHeight="1">
      <c r="C442" s="21"/>
    </row>
    <row r="443" spans="3:3" ht="15.75" customHeight="1">
      <c r="C443" s="21"/>
    </row>
    <row r="444" spans="3:3" ht="15.75" customHeight="1">
      <c r="C444" s="21"/>
    </row>
    <row r="445" spans="3:3" ht="15.75" customHeight="1">
      <c r="C445" s="21"/>
    </row>
    <row r="446" spans="3:3" ht="15.75" customHeight="1">
      <c r="C446" s="21"/>
    </row>
    <row r="447" spans="3:3" ht="15.75" customHeight="1">
      <c r="C447" s="21"/>
    </row>
    <row r="448" spans="3:3" ht="15.75" customHeight="1">
      <c r="C448" s="21"/>
    </row>
    <row r="449" spans="3:3" ht="15.75" customHeight="1">
      <c r="C449" s="21"/>
    </row>
    <row r="450" spans="3:3" ht="15.75" customHeight="1">
      <c r="C450" s="21"/>
    </row>
    <row r="451" spans="3:3" ht="15.75" customHeight="1">
      <c r="C451" s="21"/>
    </row>
    <row r="452" spans="3:3" ht="15.75" customHeight="1">
      <c r="C452" s="21"/>
    </row>
    <row r="453" spans="3:3" ht="15.75" customHeight="1">
      <c r="C453" s="21"/>
    </row>
    <row r="454" spans="3:3" ht="15.75" customHeight="1">
      <c r="C454" s="21"/>
    </row>
    <row r="455" spans="3:3" ht="15.75" customHeight="1">
      <c r="C455" s="21"/>
    </row>
    <row r="456" spans="3:3" ht="15.75" customHeight="1">
      <c r="C456" s="21"/>
    </row>
    <row r="457" spans="3:3" ht="15.75" customHeight="1">
      <c r="C457" s="21"/>
    </row>
    <row r="458" spans="3:3" ht="15.75" customHeight="1">
      <c r="C458" s="21"/>
    </row>
    <row r="459" spans="3:3" ht="15.75" customHeight="1">
      <c r="C459" s="21"/>
    </row>
    <row r="460" spans="3:3" ht="15.75" customHeight="1">
      <c r="C460" s="21"/>
    </row>
    <row r="461" spans="3:3" ht="15.75" customHeight="1">
      <c r="C461" s="21"/>
    </row>
    <row r="462" spans="3:3" ht="15.75" customHeight="1">
      <c r="C462" s="21"/>
    </row>
    <row r="463" spans="3:3" ht="15.75" customHeight="1">
      <c r="C463" s="21"/>
    </row>
    <row r="464" spans="3:3" ht="15.75" customHeight="1">
      <c r="C464" s="21"/>
    </row>
    <row r="465" spans="3:3" ht="15.75" customHeight="1">
      <c r="C465" s="21"/>
    </row>
    <row r="466" spans="3:3" ht="15.75" customHeight="1">
      <c r="C466" s="21"/>
    </row>
    <row r="467" spans="3:3" ht="15.75" customHeight="1">
      <c r="C467" s="21"/>
    </row>
    <row r="468" spans="3:3" ht="15.75" customHeight="1">
      <c r="C468" s="21"/>
    </row>
    <row r="469" spans="3:3" ht="15.75" customHeight="1">
      <c r="C469" s="21"/>
    </row>
    <row r="470" spans="3:3" ht="15.75" customHeight="1">
      <c r="C470" s="21"/>
    </row>
    <row r="471" spans="3:3" ht="15.75" customHeight="1">
      <c r="C471" s="21"/>
    </row>
    <row r="472" spans="3:3" ht="15.75" customHeight="1">
      <c r="C472" s="21"/>
    </row>
    <row r="473" spans="3:3" ht="15.75" customHeight="1">
      <c r="C473" s="21"/>
    </row>
    <row r="474" spans="3:3" ht="15.75" customHeight="1">
      <c r="C474" s="21"/>
    </row>
    <row r="475" spans="3:3" ht="15.75" customHeight="1">
      <c r="C475" s="21"/>
    </row>
    <row r="476" spans="3:3" ht="15.75" customHeight="1">
      <c r="C476" s="21"/>
    </row>
    <row r="477" spans="3:3" ht="15.75" customHeight="1">
      <c r="C477" s="21"/>
    </row>
    <row r="478" spans="3:3" ht="15.75" customHeight="1">
      <c r="C478" s="21"/>
    </row>
    <row r="479" spans="3:3" ht="15.75" customHeight="1">
      <c r="C479" s="21"/>
    </row>
    <row r="480" spans="3:3" ht="15.75" customHeight="1">
      <c r="C480" s="21"/>
    </row>
    <row r="481" spans="3:3" ht="15.75" customHeight="1">
      <c r="C481" s="21"/>
    </row>
    <row r="482" spans="3:3" ht="15.75" customHeight="1">
      <c r="C482" s="21"/>
    </row>
    <row r="483" spans="3:3" ht="15.75" customHeight="1">
      <c r="C483" s="21"/>
    </row>
    <row r="484" spans="3:3" ht="15.75" customHeight="1">
      <c r="C484" s="21"/>
    </row>
    <row r="485" spans="3:3" ht="15.75" customHeight="1">
      <c r="C485" s="21"/>
    </row>
    <row r="486" spans="3:3" ht="15.75" customHeight="1">
      <c r="C486" s="21"/>
    </row>
    <row r="487" spans="3:3" ht="15.75" customHeight="1">
      <c r="C487" s="21"/>
    </row>
    <row r="488" spans="3:3" ht="15.75" customHeight="1">
      <c r="C488" s="21"/>
    </row>
    <row r="489" spans="3:3" ht="15.75" customHeight="1">
      <c r="C489" s="21"/>
    </row>
    <row r="490" spans="3:3" ht="15.75" customHeight="1">
      <c r="C490" s="21"/>
    </row>
    <row r="491" spans="3:3" ht="15.75" customHeight="1">
      <c r="C491" s="21"/>
    </row>
    <row r="492" spans="3:3" ht="15.75" customHeight="1">
      <c r="C492" s="21"/>
    </row>
    <row r="493" spans="3:3" ht="15.75" customHeight="1">
      <c r="C493" s="21"/>
    </row>
    <row r="494" spans="3:3" ht="15.75" customHeight="1">
      <c r="C494" s="21"/>
    </row>
    <row r="495" spans="3:3" ht="15.75" customHeight="1">
      <c r="C495" s="21"/>
    </row>
    <row r="496" spans="3:3" ht="15.75" customHeight="1">
      <c r="C496" s="21"/>
    </row>
    <row r="497" spans="3:3" ht="15.75" customHeight="1">
      <c r="C497" s="21"/>
    </row>
    <row r="498" spans="3:3" ht="15.75" customHeight="1">
      <c r="C498" s="21"/>
    </row>
    <row r="499" spans="3:3" ht="15.75" customHeight="1">
      <c r="C499" s="21"/>
    </row>
    <row r="500" spans="3:3" ht="15.75" customHeight="1">
      <c r="C500" s="21"/>
    </row>
    <row r="501" spans="3:3" ht="15.75" customHeight="1">
      <c r="C501" s="21"/>
    </row>
    <row r="502" spans="3:3" ht="15.75" customHeight="1">
      <c r="C502" s="21"/>
    </row>
    <row r="503" spans="3:3" ht="15.75" customHeight="1">
      <c r="C503" s="21"/>
    </row>
    <row r="504" spans="3:3" ht="15.75" customHeight="1">
      <c r="C504" s="21"/>
    </row>
    <row r="505" spans="3:3" ht="15.75" customHeight="1">
      <c r="C505" s="21"/>
    </row>
    <row r="506" spans="3:3" ht="15.75" customHeight="1">
      <c r="C506" s="21"/>
    </row>
    <row r="507" spans="3:3" ht="15.75" customHeight="1">
      <c r="C507" s="21"/>
    </row>
    <row r="508" spans="3:3" ht="15.75" customHeight="1">
      <c r="C508" s="21"/>
    </row>
    <row r="509" spans="3:3" ht="15.75" customHeight="1">
      <c r="C509" s="21"/>
    </row>
    <row r="510" spans="3:3" ht="15.75" customHeight="1">
      <c r="C510" s="21"/>
    </row>
    <row r="511" spans="3:3" ht="15.75" customHeight="1">
      <c r="C511" s="21"/>
    </row>
    <row r="512" spans="3:3" ht="15.75" customHeight="1">
      <c r="C512" s="21"/>
    </row>
    <row r="513" spans="3:3" ht="15.75" customHeight="1">
      <c r="C513" s="21"/>
    </row>
    <row r="514" spans="3:3" ht="15.75" customHeight="1">
      <c r="C514" s="21"/>
    </row>
    <row r="515" spans="3:3" ht="15.75" customHeight="1">
      <c r="C515" s="21"/>
    </row>
    <row r="516" spans="3:3" ht="15.75" customHeight="1">
      <c r="C516" s="21"/>
    </row>
    <row r="517" spans="3:3" ht="15.75" customHeight="1">
      <c r="C517" s="21"/>
    </row>
    <row r="518" spans="3:3" ht="15.75" customHeight="1">
      <c r="C518" s="21"/>
    </row>
    <row r="519" spans="3:3" ht="15.75" customHeight="1">
      <c r="C519" s="21"/>
    </row>
    <row r="520" spans="3:3" ht="15.75" customHeight="1">
      <c r="C520" s="21"/>
    </row>
    <row r="521" spans="3:3" ht="15.75" customHeight="1">
      <c r="C521" s="21"/>
    </row>
    <row r="522" spans="3:3" ht="15.75" customHeight="1">
      <c r="C522" s="21"/>
    </row>
    <row r="523" spans="3:3" ht="15.75" customHeight="1">
      <c r="C523" s="21"/>
    </row>
    <row r="524" spans="3:3" ht="15.75" customHeight="1">
      <c r="C524" s="21"/>
    </row>
    <row r="525" spans="3:3" ht="15.75" customHeight="1">
      <c r="C525" s="21"/>
    </row>
    <row r="526" spans="3:3" ht="15.75" customHeight="1">
      <c r="C526" s="21"/>
    </row>
    <row r="527" spans="3:3" ht="15.75" customHeight="1">
      <c r="C527" s="21"/>
    </row>
    <row r="528" spans="3:3" ht="15.75" customHeight="1">
      <c r="C528" s="21"/>
    </row>
    <row r="529" spans="3:3" ht="15.75" customHeight="1">
      <c r="C529" s="21"/>
    </row>
    <row r="530" spans="3:3" ht="15.75" customHeight="1">
      <c r="C530" s="21"/>
    </row>
    <row r="531" spans="3:3" ht="15.75" customHeight="1">
      <c r="C531" s="21"/>
    </row>
    <row r="532" spans="3:3" ht="15.75" customHeight="1">
      <c r="C532" s="21"/>
    </row>
    <row r="533" spans="3:3" ht="15.75" customHeight="1">
      <c r="C533" s="21"/>
    </row>
    <row r="534" spans="3:3" ht="15.75" customHeight="1">
      <c r="C534" s="21"/>
    </row>
    <row r="535" spans="3:3" ht="15.75" customHeight="1">
      <c r="C535" s="21"/>
    </row>
    <row r="536" spans="3:3" ht="15.75" customHeight="1">
      <c r="C536" s="21"/>
    </row>
    <row r="537" spans="3:3" ht="15.75" customHeight="1">
      <c r="C537" s="21"/>
    </row>
    <row r="538" spans="3:3" ht="15.75" customHeight="1">
      <c r="C538" s="21"/>
    </row>
    <row r="539" spans="3:3" ht="15.75" customHeight="1">
      <c r="C539" s="21"/>
    </row>
    <row r="540" spans="3:3" ht="15.75" customHeight="1">
      <c r="C540" s="21"/>
    </row>
    <row r="541" spans="3:3" ht="15.75" customHeight="1">
      <c r="C541" s="21"/>
    </row>
    <row r="542" spans="3:3" ht="15.75" customHeight="1">
      <c r="C542" s="21"/>
    </row>
    <row r="543" spans="3:3" ht="15.75" customHeight="1">
      <c r="C543" s="21"/>
    </row>
    <row r="544" spans="3:3" ht="15.75" customHeight="1">
      <c r="C544" s="21"/>
    </row>
    <row r="545" spans="3:3" ht="15.75" customHeight="1">
      <c r="C545" s="21"/>
    </row>
    <row r="546" spans="3:3" ht="15.75" customHeight="1">
      <c r="C546" s="21"/>
    </row>
    <row r="547" spans="3:3" ht="15.75" customHeight="1">
      <c r="C547" s="21"/>
    </row>
    <row r="548" spans="3:3" ht="15.75" customHeight="1">
      <c r="C548" s="21"/>
    </row>
    <row r="549" spans="3:3" ht="15.75" customHeight="1">
      <c r="C549" s="21"/>
    </row>
    <row r="550" spans="3:3" ht="15.75" customHeight="1">
      <c r="C550" s="21"/>
    </row>
    <row r="551" spans="3:3" ht="15.75" customHeight="1">
      <c r="C551" s="21"/>
    </row>
    <row r="552" spans="3:3" ht="15.75" customHeight="1">
      <c r="C552" s="21"/>
    </row>
    <row r="553" spans="3:3" ht="15.75" customHeight="1">
      <c r="C553" s="21"/>
    </row>
    <row r="554" spans="3:3" ht="15.75" customHeight="1">
      <c r="C554" s="21"/>
    </row>
    <row r="555" spans="3:3" ht="15.75" customHeight="1">
      <c r="C555" s="21"/>
    </row>
    <row r="556" spans="3:3" ht="15.75" customHeight="1">
      <c r="C556" s="21"/>
    </row>
    <row r="557" spans="3:3" ht="15.75" customHeight="1">
      <c r="C557" s="21"/>
    </row>
    <row r="558" spans="3:3" ht="15.75" customHeight="1">
      <c r="C558" s="21"/>
    </row>
    <row r="559" spans="3:3" ht="15.75" customHeight="1">
      <c r="C559" s="21"/>
    </row>
    <row r="560" spans="3:3" ht="15.75" customHeight="1">
      <c r="C560" s="21"/>
    </row>
    <row r="561" spans="3:3" ht="15.75" customHeight="1">
      <c r="C561" s="21"/>
    </row>
    <row r="562" spans="3:3" ht="15.75" customHeight="1">
      <c r="C562" s="21"/>
    </row>
    <row r="563" spans="3:3" ht="15.75" customHeight="1">
      <c r="C563" s="21"/>
    </row>
    <row r="564" spans="3:3" ht="15.75" customHeight="1">
      <c r="C564" s="21"/>
    </row>
    <row r="565" spans="3:3" ht="15.75" customHeight="1">
      <c r="C565" s="21"/>
    </row>
    <row r="566" spans="3:3" ht="15.75" customHeight="1">
      <c r="C566" s="21"/>
    </row>
    <row r="567" spans="3:3" ht="15.75" customHeight="1">
      <c r="C567" s="21"/>
    </row>
    <row r="568" spans="3:3" ht="15.75" customHeight="1">
      <c r="C568" s="21"/>
    </row>
    <row r="569" spans="3:3" ht="15.75" customHeight="1">
      <c r="C569" s="21"/>
    </row>
    <row r="570" spans="3:3" ht="15.75" customHeight="1">
      <c r="C570" s="21"/>
    </row>
    <row r="571" spans="3:3" ht="15.75" customHeight="1">
      <c r="C571" s="21"/>
    </row>
    <row r="572" spans="3:3" ht="15.75" customHeight="1">
      <c r="C572" s="21"/>
    </row>
    <row r="573" spans="3:3" ht="15.75" customHeight="1">
      <c r="C573" s="21"/>
    </row>
    <row r="574" spans="3:3" ht="15.75" customHeight="1">
      <c r="C574" s="21"/>
    </row>
    <row r="575" spans="3:3" ht="15.75" customHeight="1">
      <c r="C575" s="21"/>
    </row>
    <row r="576" spans="3:3" ht="15.75" customHeight="1">
      <c r="C576" s="21"/>
    </row>
    <row r="577" spans="3:3" ht="15.75" customHeight="1">
      <c r="C577" s="21"/>
    </row>
    <row r="578" spans="3:3" ht="15.75" customHeight="1">
      <c r="C578" s="21"/>
    </row>
    <row r="579" spans="3:3" ht="15.75" customHeight="1">
      <c r="C579" s="21"/>
    </row>
    <row r="580" spans="3:3" ht="15.75" customHeight="1">
      <c r="C580" s="21"/>
    </row>
    <row r="581" spans="3:3" ht="15.75" customHeight="1">
      <c r="C581" s="21"/>
    </row>
    <row r="582" spans="3:3" ht="15.75" customHeight="1">
      <c r="C582" s="21"/>
    </row>
    <row r="583" spans="3:3" ht="15.75" customHeight="1">
      <c r="C583" s="21"/>
    </row>
    <row r="584" spans="3:3" ht="15.75" customHeight="1">
      <c r="C584" s="21"/>
    </row>
    <row r="585" spans="3:3" ht="15.75" customHeight="1">
      <c r="C585" s="21"/>
    </row>
    <row r="586" spans="3:3" ht="15.75" customHeight="1">
      <c r="C586" s="21"/>
    </row>
    <row r="587" spans="3:3" ht="15.75" customHeight="1">
      <c r="C587" s="21"/>
    </row>
    <row r="588" spans="3:3" ht="15.75" customHeight="1">
      <c r="C588" s="21"/>
    </row>
    <row r="589" spans="3:3" ht="15.75" customHeight="1">
      <c r="C589" s="21"/>
    </row>
    <row r="590" spans="3:3" ht="15.75" customHeight="1">
      <c r="C590" s="21"/>
    </row>
    <row r="591" spans="3:3" ht="15.75" customHeight="1">
      <c r="C591" s="21"/>
    </row>
    <row r="592" spans="3:3" ht="15.75" customHeight="1">
      <c r="C592" s="21"/>
    </row>
    <row r="593" spans="3:3" ht="15.75" customHeight="1">
      <c r="C593" s="21"/>
    </row>
    <row r="594" spans="3:3" ht="15.75" customHeight="1">
      <c r="C594" s="21"/>
    </row>
    <row r="595" spans="3:3" ht="15.75" customHeight="1">
      <c r="C595" s="21"/>
    </row>
    <row r="596" spans="3:3" ht="15.75" customHeight="1">
      <c r="C596" s="21"/>
    </row>
    <row r="597" spans="3:3" ht="15.75" customHeight="1">
      <c r="C597" s="21"/>
    </row>
    <row r="598" spans="3:3" ht="15.75" customHeight="1">
      <c r="C598" s="21"/>
    </row>
    <row r="599" spans="3:3" ht="15.75" customHeight="1">
      <c r="C599" s="21"/>
    </row>
    <row r="600" spans="3:3" ht="15.75" customHeight="1">
      <c r="C600" s="21"/>
    </row>
    <row r="601" spans="3:3" ht="15.75" customHeight="1">
      <c r="C601" s="21"/>
    </row>
    <row r="602" spans="3:3" ht="15.75" customHeight="1">
      <c r="C602" s="21"/>
    </row>
    <row r="603" spans="3:3" ht="15.75" customHeight="1">
      <c r="C603" s="21"/>
    </row>
    <row r="604" spans="3:3" ht="15.75" customHeight="1">
      <c r="C604" s="21"/>
    </row>
    <row r="605" spans="3:3" ht="15.75" customHeight="1">
      <c r="C605" s="21"/>
    </row>
    <row r="606" spans="3:3" ht="15.75" customHeight="1">
      <c r="C606" s="21"/>
    </row>
    <row r="607" spans="3:3" ht="15.75" customHeight="1">
      <c r="C607" s="21"/>
    </row>
    <row r="608" spans="3:3" ht="15.75" customHeight="1">
      <c r="C608" s="21"/>
    </row>
    <row r="609" spans="3:3" ht="15.75" customHeight="1">
      <c r="C609" s="21"/>
    </row>
    <row r="610" spans="3:3" ht="15.75" customHeight="1">
      <c r="C610" s="21"/>
    </row>
    <row r="611" spans="3:3" ht="15.75" customHeight="1">
      <c r="C611" s="21"/>
    </row>
    <row r="612" spans="3:3" ht="15.75" customHeight="1">
      <c r="C612" s="21"/>
    </row>
    <row r="613" spans="3:3" ht="15.75" customHeight="1">
      <c r="C613" s="21"/>
    </row>
    <row r="614" spans="3:3" ht="15.75" customHeight="1">
      <c r="C614" s="21"/>
    </row>
    <row r="615" spans="3:3" ht="15.75" customHeight="1">
      <c r="C615" s="21"/>
    </row>
    <row r="616" spans="3:3" ht="15.75" customHeight="1">
      <c r="C616" s="21"/>
    </row>
    <row r="617" spans="3:3" ht="15.75" customHeight="1">
      <c r="C617" s="21"/>
    </row>
    <row r="618" spans="3:3" ht="15.75" customHeight="1">
      <c r="C618" s="21"/>
    </row>
    <row r="619" spans="3:3" ht="15.75" customHeight="1">
      <c r="C619" s="21"/>
    </row>
    <row r="620" spans="3:3" ht="15.75" customHeight="1">
      <c r="C620" s="21"/>
    </row>
    <row r="621" spans="3:3" ht="15.75" customHeight="1">
      <c r="C621" s="21"/>
    </row>
    <row r="622" spans="3:3" ht="15.75" customHeight="1">
      <c r="C622" s="21"/>
    </row>
    <row r="623" spans="3:3" ht="15.75" customHeight="1">
      <c r="C623" s="21"/>
    </row>
    <row r="624" spans="3:3" ht="15.75" customHeight="1">
      <c r="C624" s="21"/>
    </row>
    <row r="625" spans="3:3" ht="15.75" customHeight="1">
      <c r="C625" s="21"/>
    </row>
    <row r="626" spans="3:3" ht="15.75" customHeight="1">
      <c r="C626" s="21"/>
    </row>
    <row r="627" spans="3:3" ht="15.75" customHeight="1">
      <c r="C627" s="21"/>
    </row>
    <row r="628" spans="3:3" ht="15.75" customHeight="1">
      <c r="C628" s="21"/>
    </row>
    <row r="629" spans="3:3" ht="15.75" customHeight="1">
      <c r="C629" s="21"/>
    </row>
    <row r="630" spans="3:3" ht="15.75" customHeight="1">
      <c r="C630" s="21"/>
    </row>
    <row r="631" spans="3:3" ht="15.75" customHeight="1">
      <c r="C631" s="21"/>
    </row>
    <row r="632" spans="3:3" ht="15.75" customHeight="1">
      <c r="C632" s="21"/>
    </row>
    <row r="633" spans="3:3" ht="15.75" customHeight="1">
      <c r="C633" s="21"/>
    </row>
    <row r="634" spans="3:3" ht="15.75" customHeight="1">
      <c r="C634" s="21"/>
    </row>
    <row r="635" spans="3:3" ht="15.75" customHeight="1">
      <c r="C635" s="21"/>
    </row>
    <row r="636" spans="3:3" ht="15.75" customHeight="1">
      <c r="C636" s="21"/>
    </row>
    <row r="637" spans="3:3" ht="15.75" customHeight="1">
      <c r="C637" s="21"/>
    </row>
    <row r="638" spans="3:3" ht="15.75" customHeight="1">
      <c r="C638" s="21"/>
    </row>
    <row r="639" spans="3:3" ht="15.75" customHeight="1">
      <c r="C639" s="21"/>
    </row>
    <row r="640" spans="3:3" ht="15.75" customHeight="1">
      <c r="C640" s="21"/>
    </row>
    <row r="641" spans="3:3" ht="15.75" customHeight="1">
      <c r="C641" s="21"/>
    </row>
    <row r="642" spans="3:3" ht="15.75" customHeight="1">
      <c r="C642" s="21"/>
    </row>
    <row r="643" spans="3:3" ht="15.75" customHeight="1">
      <c r="C643" s="21"/>
    </row>
    <row r="644" spans="3:3" ht="15.75" customHeight="1">
      <c r="C644" s="21"/>
    </row>
    <row r="645" spans="3:3" ht="15.75" customHeight="1">
      <c r="C645" s="21"/>
    </row>
    <row r="646" spans="3:3" ht="15.75" customHeight="1">
      <c r="C646" s="21"/>
    </row>
    <row r="647" spans="3:3" ht="15.75" customHeight="1">
      <c r="C647" s="21"/>
    </row>
    <row r="648" spans="3:3" ht="15.75" customHeight="1">
      <c r="C648" s="21"/>
    </row>
    <row r="649" spans="3:3" ht="15.75" customHeight="1">
      <c r="C649" s="21"/>
    </row>
    <row r="650" spans="3:3" ht="15.75" customHeight="1">
      <c r="C650" s="21"/>
    </row>
    <row r="651" spans="3:3" ht="15.75" customHeight="1">
      <c r="C651" s="21"/>
    </row>
    <row r="652" spans="3:3" ht="15.75" customHeight="1">
      <c r="C652" s="21"/>
    </row>
    <row r="653" spans="3:3" ht="15.75" customHeight="1">
      <c r="C653" s="21"/>
    </row>
    <row r="654" spans="3:3" ht="15.75" customHeight="1">
      <c r="C654" s="21"/>
    </row>
    <row r="655" spans="3:3" ht="15.75" customHeight="1">
      <c r="C655" s="21"/>
    </row>
    <row r="656" spans="3:3" ht="15.75" customHeight="1">
      <c r="C656" s="21"/>
    </row>
    <row r="657" spans="3:3" ht="15.75" customHeight="1">
      <c r="C657" s="21"/>
    </row>
    <row r="658" spans="3:3" ht="15.75" customHeight="1">
      <c r="C658" s="21"/>
    </row>
    <row r="659" spans="3:3" ht="15.75" customHeight="1">
      <c r="C659" s="21"/>
    </row>
    <row r="660" spans="3:3" ht="15.75" customHeight="1">
      <c r="C660" s="21"/>
    </row>
    <row r="661" spans="3:3" ht="15.75" customHeight="1">
      <c r="C661" s="21"/>
    </row>
    <row r="662" spans="3:3" ht="15.75" customHeight="1">
      <c r="C662" s="21"/>
    </row>
    <row r="663" spans="3:3" ht="15.75" customHeight="1">
      <c r="C663" s="21"/>
    </row>
    <row r="664" spans="3:3" ht="15.75" customHeight="1">
      <c r="C664" s="21"/>
    </row>
    <row r="665" spans="3:3" ht="15.75" customHeight="1">
      <c r="C665" s="21"/>
    </row>
    <row r="666" spans="3:3" ht="15.75" customHeight="1">
      <c r="C666" s="21"/>
    </row>
    <row r="667" spans="3:3" ht="15.75" customHeight="1">
      <c r="C667" s="21"/>
    </row>
    <row r="668" spans="3:3" ht="15.75" customHeight="1">
      <c r="C668" s="21"/>
    </row>
    <row r="669" spans="3:3" ht="15.75" customHeight="1">
      <c r="C669" s="21"/>
    </row>
    <row r="670" spans="3:3" ht="15.75" customHeight="1">
      <c r="C670" s="21"/>
    </row>
    <row r="671" spans="3:3" ht="15.75" customHeight="1">
      <c r="C671" s="21"/>
    </row>
    <row r="672" spans="3:3" ht="15.75" customHeight="1">
      <c r="C672" s="21"/>
    </row>
    <row r="673" spans="3:3" ht="15.75" customHeight="1">
      <c r="C673" s="21"/>
    </row>
    <row r="674" spans="3:3" ht="15.75" customHeight="1">
      <c r="C674" s="21"/>
    </row>
    <row r="675" spans="3:3" ht="15.75" customHeight="1">
      <c r="C675" s="21"/>
    </row>
    <row r="676" spans="3:3" ht="15.75" customHeight="1">
      <c r="C676" s="21"/>
    </row>
    <row r="677" spans="3:3" ht="15.75" customHeight="1">
      <c r="C677" s="21"/>
    </row>
    <row r="678" spans="3:3" ht="15.75" customHeight="1">
      <c r="C678" s="21"/>
    </row>
    <row r="679" spans="3:3" ht="15.75" customHeight="1">
      <c r="C679" s="21"/>
    </row>
    <row r="680" spans="3:3" ht="15.75" customHeight="1">
      <c r="C680" s="21"/>
    </row>
    <row r="681" spans="3:3" ht="15.75" customHeight="1">
      <c r="C681" s="21"/>
    </row>
    <row r="682" spans="3:3" ht="15.75" customHeight="1">
      <c r="C682" s="21"/>
    </row>
    <row r="683" spans="3:3" ht="15.75" customHeight="1">
      <c r="C683" s="21"/>
    </row>
    <row r="684" spans="3:3" ht="15.75" customHeight="1">
      <c r="C684" s="21"/>
    </row>
    <row r="685" spans="3:3" ht="15.75" customHeight="1">
      <c r="C685" s="21"/>
    </row>
    <row r="686" spans="3:3" ht="15.75" customHeight="1">
      <c r="C686" s="21"/>
    </row>
    <row r="687" spans="3:3" ht="15.75" customHeight="1">
      <c r="C687" s="21"/>
    </row>
    <row r="688" spans="3:3" ht="15.75" customHeight="1">
      <c r="C688" s="21"/>
    </row>
    <row r="689" spans="3:3" ht="15.75" customHeight="1">
      <c r="C689" s="21"/>
    </row>
    <row r="690" spans="3:3" ht="15.75" customHeight="1">
      <c r="C690" s="21"/>
    </row>
    <row r="691" spans="3:3" ht="15.75" customHeight="1">
      <c r="C691" s="21"/>
    </row>
    <row r="692" spans="3:3" ht="15.75" customHeight="1">
      <c r="C692" s="21"/>
    </row>
    <row r="693" spans="3:3" ht="15.75" customHeight="1">
      <c r="C693" s="21"/>
    </row>
    <row r="694" spans="3:3" ht="15.75" customHeight="1">
      <c r="C694" s="21"/>
    </row>
    <row r="695" spans="3:3" ht="15.75" customHeight="1">
      <c r="C695" s="21"/>
    </row>
    <row r="696" spans="3:3" ht="15.75" customHeight="1">
      <c r="C696" s="21"/>
    </row>
    <row r="697" spans="3:3" ht="15.75" customHeight="1">
      <c r="C697" s="21"/>
    </row>
    <row r="698" spans="3:3" ht="15.75" customHeight="1">
      <c r="C698" s="21"/>
    </row>
    <row r="699" spans="3:3" ht="15.75" customHeight="1">
      <c r="C699" s="21"/>
    </row>
    <row r="700" spans="3:3" ht="15.75" customHeight="1">
      <c r="C700" s="21"/>
    </row>
    <row r="701" spans="3:3" ht="15.75" customHeight="1">
      <c r="C701" s="21"/>
    </row>
    <row r="702" spans="3:3" ht="15.75" customHeight="1">
      <c r="C702" s="21"/>
    </row>
    <row r="703" spans="3:3" ht="15.75" customHeight="1">
      <c r="C703" s="21"/>
    </row>
    <row r="704" spans="3:3" ht="15.75" customHeight="1">
      <c r="C704" s="21"/>
    </row>
    <row r="705" spans="3:3" ht="15.75" customHeight="1">
      <c r="C705" s="21"/>
    </row>
    <row r="706" spans="3:3" ht="15.75" customHeight="1">
      <c r="C706" s="21"/>
    </row>
    <row r="707" spans="3:3" ht="15.75" customHeight="1">
      <c r="C707" s="21"/>
    </row>
    <row r="708" spans="3:3" ht="15.75" customHeight="1">
      <c r="C708" s="21"/>
    </row>
    <row r="709" spans="3:3" ht="15.75" customHeight="1">
      <c r="C709" s="21"/>
    </row>
    <row r="710" spans="3:3" ht="15.75" customHeight="1">
      <c r="C710" s="21"/>
    </row>
    <row r="711" spans="3:3" ht="15.75" customHeight="1">
      <c r="C711" s="21"/>
    </row>
    <row r="712" spans="3:3" ht="15.75" customHeight="1">
      <c r="C712" s="21"/>
    </row>
    <row r="713" spans="3:3" ht="15.75" customHeight="1">
      <c r="C713" s="21"/>
    </row>
    <row r="714" spans="3:3" ht="15.75" customHeight="1">
      <c r="C714" s="21"/>
    </row>
    <row r="715" spans="3:3" ht="15.75" customHeight="1">
      <c r="C715" s="21"/>
    </row>
    <row r="716" spans="3:3" ht="15.75" customHeight="1">
      <c r="C716" s="21"/>
    </row>
    <row r="717" spans="3:3" ht="15.75" customHeight="1">
      <c r="C717" s="21"/>
    </row>
    <row r="718" spans="3:3" ht="15.75" customHeight="1">
      <c r="C718" s="21"/>
    </row>
    <row r="719" spans="3:3" ht="15.75" customHeight="1">
      <c r="C719" s="21"/>
    </row>
    <row r="720" spans="3:3" ht="15.75" customHeight="1">
      <c r="C720" s="21"/>
    </row>
    <row r="721" spans="3:3" ht="15.75" customHeight="1">
      <c r="C721" s="21"/>
    </row>
    <row r="722" spans="3:3" ht="15.75" customHeight="1">
      <c r="C722" s="21"/>
    </row>
    <row r="723" spans="3:3" ht="15.75" customHeight="1">
      <c r="C723" s="21"/>
    </row>
    <row r="724" spans="3:3" ht="15.75" customHeight="1">
      <c r="C724" s="21"/>
    </row>
    <row r="725" spans="3:3" ht="15.75" customHeight="1">
      <c r="C725" s="21"/>
    </row>
    <row r="726" spans="3:3" ht="15.75" customHeight="1">
      <c r="C726" s="21"/>
    </row>
    <row r="727" spans="3:3" ht="15.75" customHeight="1">
      <c r="C727" s="21"/>
    </row>
    <row r="728" spans="3:3" ht="15.75" customHeight="1">
      <c r="C728" s="21"/>
    </row>
    <row r="729" spans="3:3" ht="15.75" customHeight="1">
      <c r="C729" s="21"/>
    </row>
    <row r="730" spans="3:3" ht="15.75" customHeight="1">
      <c r="C730" s="21"/>
    </row>
    <row r="731" spans="3:3" ht="15.75" customHeight="1">
      <c r="C731" s="21"/>
    </row>
    <row r="732" spans="3:3" ht="15.75" customHeight="1">
      <c r="C732" s="21"/>
    </row>
    <row r="733" spans="3:3" ht="15.75" customHeight="1">
      <c r="C733" s="21"/>
    </row>
    <row r="734" spans="3:3" ht="15.75" customHeight="1">
      <c r="C734" s="21"/>
    </row>
    <row r="735" spans="3:3" ht="15.75" customHeight="1">
      <c r="C735" s="21"/>
    </row>
    <row r="736" spans="3:3" ht="15.75" customHeight="1">
      <c r="C736" s="21"/>
    </row>
    <row r="737" spans="3:3" ht="15.75" customHeight="1">
      <c r="C737" s="21"/>
    </row>
    <row r="738" spans="3:3" ht="15.75" customHeight="1">
      <c r="C738" s="21"/>
    </row>
    <row r="739" spans="3:3" ht="15.75" customHeight="1">
      <c r="C739" s="21"/>
    </row>
    <row r="740" spans="3:3" ht="15.75" customHeight="1">
      <c r="C740" s="21"/>
    </row>
    <row r="741" spans="3:3" ht="15.75" customHeight="1">
      <c r="C741" s="21"/>
    </row>
    <row r="742" spans="3:3" ht="15.75" customHeight="1">
      <c r="C742" s="21"/>
    </row>
    <row r="743" spans="3:3" ht="15.75" customHeight="1">
      <c r="C743" s="21"/>
    </row>
    <row r="744" spans="3:3" ht="15.75" customHeight="1">
      <c r="C744" s="21"/>
    </row>
    <row r="745" spans="3:3" ht="15.75" customHeight="1">
      <c r="C745" s="21"/>
    </row>
    <row r="746" spans="3:3" ht="15.75" customHeight="1">
      <c r="C746" s="21"/>
    </row>
    <row r="747" spans="3:3" ht="15.75" customHeight="1">
      <c r="C747" s="21"/>
    </row>
    <row r="748" spans="3:3" ht="15.75" customHeight="1">
      <c r="C748" s="21"/>
    </row>
    <row r="749" spans="3:3" ht="15.75" customHeight="1">
      <c r="C749" s="21"/>
    </row>
    <row r="750" spans="3:3" ht="15.75" customHeight="1">
      <c r="C750" s="21"/>
    </row>
    <row r="751" spans="3:3" ht="15.75" customHeight="1">
      <c r="C751" s="21"/>
    </row>
    <row r="752" spans="3:3" ht="15.75" customHeight="1">
      <c r="C752" s="21"/>
    </row>
    <row r="753" spans="3:3" ht="15.75" customHeight="1">
      <c r="C753" s="21"/>
    </row>
    <row r="754" spans="3:3" ht="15.75" customHeight="1">
      <c r="C754" s="21"/>
    </row>
    <row r="755" spans="3:3" ht="15.75" customHeight="1">
      <c r="C755" s="21"/>
    </row>
    <row r="756" spans="3:3" ht="15.75" customHeight="1">
      <c r="C756" s="21"/>
    </row>
    <row r="757" spans="3:3" ht="15.75" customHeight="1">
      <c r="C757" s="21"/>
    </row>
    <row r="758" spans="3:3" ht="15.75" customHeight="1">
      <c r="C758" s="21"/>
    </row>
    <row r="759" spans="3:3" ht="15.75" customHeight="1">
      <c r="C759" s="21"/>
    </row>
    <row r="760" spans="3:3" ht="15.75" customHeight="1">
      <c r="C760" s="21"/>
    </row>
    <row r="761" spans="3:3" ht="15.75" customHeight="1">
      <c r="C761" s="21"/>
    </row>
    <row r="762" spans="3:3" ht="15.75" customHeight="1">
      <c r="C762" s="21"/>
    </row>
    <row r="763" spans="3:3" ht="15.75" customHeight="1">
      <c r="C763" s="21"/>
    </row>
    <row r="764" spans="3:3" ht="15.75" customHeight="1">
      <c r="C764" s="21"/>
    </row>
    <row r="765" spans="3:3" ht="15.75" customHeight="1">
      <c r="C765" s="21"/>
    </row>
    <row r="766" spans="3:3" ht="15.75" customHeight="1">
      <c r="C766" s="21"/>
    </row>
    <row r="767" spans="3:3" ht="15.75" customHeight="1">
      <c r="C767" s="21"/>
    </row>
    <row r="768" spans="3:3" ht="15.75" customHeight="1">
      <c r="C768" s="21"/>
    </row>
    <row r="769" spans="3:3" ht="15.75" customHeight="1">
      <c r="C769" s="21"/>
    </row>
    <row r="770" spans="3:3" ht="15.75" customHeight="1">
      <c r="C770" s="21"/>
    </row>
    <row r="771" spans="3:3" ht="15.75" customHeight="1">
      <c r="C771" s="21"/>
    </row>
    <row r="772" spans="3:3" ht="15.75" customHeight="1">
      <c r="C772" s="21"/>
    </row>
    <row r="773" spans="3:3" ht="15.75" customHeight="1">
      <c r="C773" s="21"/>
    </row>
    <row r="774" spans="3:3" ht="15.75" customHeight="1">
      <c r="C774" s="21"/>
    </row>
    <row r="775" spans="3:3" ht="15.75" customHeight="1">
      <c r="C775" s="21"/>
    </row>
    <row r="776" spans="3:3" ht="15.75" customHeight="1">
      <c r="C776" s="21"/>
    </row>
    <row r="777" spans="3:3" ht="15.75" customHeight="1">
      <c r="C777" s="21"/>
    </row>
    <row r="778" spans="3:3" ht="15.75" customHeight="1">
      <c r="C778" s="21"/>
    </row>
    <row r="779" spans="3:3" ht="15.75" customHeight="1">
      <c r="C779" s="21"/>
    </row>
    <row r="780" spans="3:3" ht="15.75" customHeight="1">
      <c r="C780" s="21"/>
    </row>
    <row r="781" spans="3:3" ht="15.75" customHeight="1">
      <c r="C781" s="21"/>
    </row>
    <row r="782" spans="3:3" ht="15.75" customHeight="1">
      <c r="C782" s="21"/>
    </row>
    <row r="783" spans="3:3" ht="15.75" customHeight="1">
      <c r="C783" s="21"/>
    </row>
    <row r="784" spans="3:3" ht="15.75" customHeight="1">
      <c r="C784" s="21"/>
    </row>
    <row r="785" spans="3:3" ht="15.75" customHeight="1">
      <c r="C785" s="21"/>
    </row>
    <row r="786" spans="3:3" ht="15.75" customHeight="1">
      <c r="C786" s="21"/>
    </row>
    <row r="787" spans="3:3" ht="15.75" customHeight="1">
      <c r="C787" s="21"/>
    </row>
    <row r="788" spans="3:3" ht="15.75" customHeight="1">
      <c r="C788" s="21"/>
    </row>
    <row r="789" spans="3:3" ht="15.75" customHeight="1">
      <c r="C789" s="21"/>
    </row>
    <row r="790" spans="3:3" ht="15.75" customHeight="1">
      <c r="C790" s="21"/>
    </row>
    <row r="791" spans="3:3" ht="15.75" customHeight="1">
      <c r="C791" s="21"/>
    </row>
    <row r="792" spans="3:3" ht="15.75" customHeight="1">
      <c r="C792" s="21"/>
    </row>
    <row r="793" spans="3:3" ht="15.75" customHeight="1">
      <c r="C793" s="21"/>
    </row>
    <row r="794" spans="3:3" ht="15.75" customHeight="1">
      <c r="C794" s="21"/>
    </row>
    <row r="795" spans="3:3" ht="15.75" customHeight="1">
      <c r="C795" s="21"/>
    </row>
    <row r="796" spans="3:3" ht="15.75" customHeight="1">
      <c r="C796" s="21"/>
    </row>
    <row r="797" spans="3:3" ht="15.75" customHeight="1">
      <c r="C797" s="21"/>
    </row>
    <row r="798" spans="3:3" ht="15.75" customHeight="1">
      <c r="C798" s="21"/>
    </row>
    <row r="799" spans="3:3" ht="15.75" customHeight="1">
      <c r="C799" s="21"/>
    </row>
    <row r="800" spans="3:3" ht="15.75" customHeight="1">
      <c r="C800" s="21"/>
    </row>
    <row r="801" spans="3:3" ht="15.75" customHeight="1">
      <c r="C801" s="21"/>
    </row>
    <row r="802" spans="3:3" ht="15.75" customHeight="1">
      <c r="C802" s="21"/>
    </row>
    <row r="803" spans="3:3" ht="15.75" customHeight="1">
      <c r="C803" s="21"/>
    </row>
    <row r="804" spans="3:3" ht="15.75" customHeight="1">
      <c r="C804" s="21"/>
    </row>
    <row r="805" spans="3:3" ht="15.75" customHeight="1">
      <c r="C805" s="21"/>
    </row>
    <row r="806" spans="3:3" ht="15.75" customHeight="1">
      <c r="C806" s="21"/>
    </row>
    <row r="807" spans="3:3" ht="15.75" customHeight="1">
      <c r="C807" s="21"/>
    </row>
    <row r="808" spans="3:3" ht="15.75" customHeight="1">
      <c r="C808" s="21"/>
    </row>
    <row r="809" spans="3:3" ht="15.75" customHeight="1">
      <c r="C809" s="21"/>
    </row>
    <row r="810" spans="3:3" ht="15.75" customHeight="1">
      <c r="C810" s="21"/>
    </row>
    <row r="811" spans="3:3" ht="15.75" customHeight="1">
      <c r="C811" s="21"/>
    </row>
    <row r="812" spans="3:3" ht="15.75" customHeight="1">
      <c r="C812" s="21"/>
    </row>
    <row r="813" spans="3:3" ht="15.75" customHeight="1">
      <c r="C813" s="21"/>
    </row>
    <row r="814" spans="3:3" ht="15.75" customHeight="1">
      <c r="C814" s="21"/>
    </row>
    <row r="815" spans="3:3" ht="15.75" customHeight="1">
      <c r="C815" s="21"/>
    </row>
    <row r="816" spans="3:3" ht="15.75" customHeight="1">
      <c r="C816" s="21"/>
    </row>
    <row r="817" spans="3:3" ht="15.75" customHeight="1">
      <c r="C817" s="21"/>
    </row>
    <row r="818" spans="3:3" ht="15.75" customHeight="1">
      <c r="C818" s="21"/>
    </row>
    <row r="819" spans="3:3" ht="15.75" customHeight="1">
      <c r="C819" s="21"/>
    </row>
    <row r="820" spans="3:3" ht="15.75" customHeight="1">
      <c r="C820" s="21"/>
    </row>
    <row r="821" spans="3:3" ht="15.75" customHeight="1">
      <c r="C821" s="21"/>
    </row>
    <row r="822" spans="3:3" ht="15.75" customHeight="1">
      <c r="C822" s="21"/>
    </row>
    <row r="823" spans="3:3" ht="15.75" customHeight="1">
      <c r="C823" s="21"/>
    </row>
    <row r="824" spans="3:3" ht="15.75" customHeight="1">
      <c r="C824" s="21"/>
    </row>
    <row r="825" spans="3:3" ht="15.75" customHeight="1">
      <c r="C825" s="21"/>
    </row>
    <row r="826" spans="3:3" ht="15.75" customHeight="1">
      <c r="C826" s="21"/>
    </row>
    <row r="827" spans="3:3" ht="15.75" customHeight="1">
      <c r="C827" s="21"/>
    </row>
    <row r="828" spans="3:3" ht="15.75" customHeight="1">
      <c r="C828" s="21"/>
    </row>
    <row r="829" spans="3:3" ht="15.75" customHeight="1">
      <c r="C829" s="21"/>
    </row>
    <row r="830" spans="3:3" ht="15.75" customHeight="1">
      <c r="C830" s="21"/>
    </row>
    <row r="831" spans="3:3" ht="15.75" customHeight="1">
      <c r="C831" s="21"/>
    </row>
    <row r="832" spans="3:3" ht="15.75" customHeight="1">
      <c r="C832" s="21"/>
    </row>
    <row r="833" spans="3:3" ht="15.75" customHeight="1">
      <c r="C833" s="21"/>
    </row>
    <row r="834" spans="3:3" ht="15.75" customHeight="1">
      <c r="C834" s="21"/>
    </row>
    <row r="835" spans="3:3" ht="15.75" customHeight="1">
      <c r="C835" s="21"/>
    </row>
    <row r="836" spans="3:3" ht="15.75" customHeight="1">
      <c r="C836" s="21"/>
    </row>
    <row r="837" spans="3:3" ht="15.75" customHeight="1">
      <c r="C837" s="21"/>
    </row>
    <row r="838" spans="3:3" ht="15.75" customHeight="1">
      <c r="C838" s="21"/>
    </row>
    <row r="839" spans="3:3" ht="15.75" customHeight="1">
      <c r="C839" s="21"/>
    </row>
    <row r="840" spans="3:3" ht="15.75" customHeight="1">
      <c r="C840" s="21"/>
    </row>
    <row r="841" spans="3:3" ht="15.75" customHeight="1">
      <c r="C841" s="21"/>
    </row>
    <row r="842" spans="3:3" ht="15.75" customHeight="1">
      <c r="C842" s="21"/>
    </row>
    <row r="843" spans="3:3" ht="15.75" customHeight="1">
      <c r="C843" s="21"/>
    </row>
    <row r="844" spans="3:3" ht="15.75" customHeight="1">
      <c r="C844" s="21"/>
    </row>
    <row r="845" spans="3:3" ht="15.75" customHeight="1">
      <c r="C845" s="21"/>
    </row>
    <row r="846" spans="3:3" ht="15.75" customHeight="1">
      <c r="C846" s="21"/>
    </row>
    <row r="847" spans="3:3" ht="15.75" customHeight="1">
      <c r="C847" s="21"/>
    </row>
    <row r="848" spans="3:3" ht="15.75" customHeight="1">
      <c r="C848" s="21"/>
    </row>
    <row r="849" spans="3:3" ht="15.75" customHeight="1">
      <c r="C849" s="21"/>
    </row>
    <row r="850" spans="3:3" ht="15.75" customHeight="1">
      <c r="C850" s="21"/>
    </row>
    <row r="851" spans="3:3" ht="15.75" customHeight="1">
      <c r="C851" s="21"/>
    </row>
    <row r="852" spans="3:3" ht="15.75" customHeight="1">
      <c r="C852" s="21"/>
    </row>
    <row r="853" spans="3:3" ht="15.75" customHeight="1">
      <c r="C853" s="21"/>
    </row>
    <row r="854" spans="3:3" ht="15.75" customHeight="1">
      <c r="C854" s="21"/>
    </row>
    <row r="855" spans="3:3" ht="15.75" customHeight="1">
      <c r="C855" s="21"/>
    </row>
    <row r="856" spans="3:3" ht="15.75" customHeight="1">
      <c r="C856" s="21"/>
    </row>
    <row r="857" spans="3:3" ht="15.75" customHeight="1">
      <c r="C857" s="21"/>
    </row>
    <row r="858" spans="3:3" ht="15.75" customHeight="1">
      <c r="C858" s="21"/>
    </row>
    <row r="859" spans="3:3" ht="15.75" customHeight="1">
      <c r="C859" s="21"/>
    </row>
    <row r="860" spans="3:3" ht="15.75" customHeight="1">
      <c r="C860" s="21"/>
    </row>
    <row r="861" spans="3:3" ht="15.75" customHeight="1">
      <c r="C861" s="21"/>
    </row>
    <row r="862" spans="3:3" ht="15.75" customHeight="1">
      <c r="C862" s="21"/>
    </row>
    <row r="863" spans="3:3" ht="15.75" customHeight="1">
      <c r="C863" s="21"/>
    </row>
    <row r="864" spans="3:3" ht="15.75" customHeight="1">
      <c r="C864" s="21"/>
    </row>
    <row r="865" spans="3:3" ht="15.75" customHeight="1">
      <c r="C865" s="21"/>
    </row>
    <row r="866" spans="3:3" ht="15.75" customHeight="1">
      <c r="C866" s="21"/>
    </row>
    <row r="867" spans="3:3" ht="15.75" customHeight="1">
      <c r="C867" s="21"/>
    </row>
    <row r="868" spans="3:3" ht="15.75" customHeight="1">
      <c r="C868" s="21"/>
    </row>
    <row r="869" spans="3:3" ht="15.75" customHeight="1">
      <c r="C869" s="21"/>
    </row>
    <row r="870" spans="3:3" ht="15.75" customHeight="1">
      <c r="C870" s="21"/>
    </row>
    <row r="871" spans="3:3" ht="15.75" customHeight="1">
      <c r="C871" s="21"/>
    </row>
    <row r="872" spans="3:3" ht="15.75" customHeight="1">
      <c r="C872" s="21"/>
    </row>
    <row r="873" spans="3:3" ht="15.75" customHeight="1">
      <c r="C873" s="21"/>
    </row>
    <row r="874" spans="3:3" ht="15.75" customHeight="1">
      <c r="C874" s="21"/>
    </row>
    <row r="875" spans="3:3" ht="15.75" customHeight="1">
      <c r="C875" s="21"/>
    </row>
    <row r="876" spans="3:3" ht="15.75" customHeight="1">
      <c r="C876" s="21"/>
    </row>
    <row r="877" spans="3:3" ht="15.75" customHeight="1">
      <c r="C877" s="21"/>
    </row>
    <row r="878" spans="3:3" ht="15.75" customHeight="1">
      <c r="C878" s="21"/>
    </row>
    <row r="879" spans="3:3" ht="15.75" customHeight="1">
      <c r="C879" s="21"/>
    </row>
    <row r="880" spans="3:3" ht="15.75" customHeight="1">
      <c r="C880" s="21"/>
    </row>
    <row r="881" spans="3:3" ht="15.75" customHeight="1">
      <c r="C881" s="21"/>
    </row>
    <row r="882" spans="3:3" ht="15.75" customHeight="1">
      <c r="C882" s="21"/>
    </row>
    <row r="883" spans="3:3" ht="15.75" customHeight="1">
      <c r="C883" s="21"/>
    </row>
    <row r="884" spans="3:3" ht="15.75" customHeight="1">
      <c r="C884" s="21"/>
    </row>
    <row r="885" spans="3:3" ht="15.75" customHeight="1">
      <c r="C885" s="21"/>
    </row>
    <row r="886" spans="3:3" ht="15.75" customHeight="1">
      <c r="C886" s="21"/>
    </row>
    <row r="887" spans="3:3" ht="15.75" customHeight="1">
      <c r="C887" s="21"/>
    </row>
    <row r="888" spans="3:3" ht="15.75" customHeight="1">
      <c r="C888" s="21"/>
    </row>
    <row r="889" spans="3:3" ht="15.75" customHeight="1">
      <c r="C889" s="21"/>
    </row>
    <row r="890" spans="3:3" ht="15.75" customHeight="1">
      <c r="C890" s="21"/>
    </row>
    <row r="891" spans="3:3" ht="15.75" customHeight="1">
      <c r="C891" s="21"/>
    </row>
    <row r="892" spans="3:3" ht="15.75" customHeight="1">
      <c r="C892" s="21"/>
    </row>
    <row r="893" spans="3:3" ht="15.75" customHeight="1">
      <c r="C893" s="21"/>
    </row>
    <row r="894" spans="3:3" ht="15.75" customHeight="1">
      <c r="C894" s="21"/>
    </row>
    <row r="895" spans="3:3" ht="15.75" customHeight="1">
      <c r="C895" s="21"/>
    </row>
    <row r="896" spans="3:3" ht="15.75" customHeight="1">
      <c r="C896" s="21"/>
    </row>
    <row r="897" spans="3:3" ht="15.75" customHeight="1">
      <c r="C897" s="21"/>
    </row>
    <row r="898" spans="3:3" ht="15.75" customHeight="1">
      <c r="C898" s="21"/>
    </row>
    <row r="899" spans="3:3" ht="15.75" customHeight="1">
      <c r="C899" s="21"/>
    </row>
    <row r="900" spans="3:3" ht="15.75" customHeight="1">
      <c r="C900" s="21"/>
    </row>
    <row r="901" spans="3:3" ht="15.75" customHeight="1">
      <c r="C901" s="21"/>
    </row>
    <row r="902" spans="3:3" ht="15.75" customHeight="1">
      <c r="C902" s="21"/>
    </row>
    <row r="903" spans="3:3" ht="15.75" customHeight="1">
      <c r="C903" s="21"/>
    </row>
    <row r="904" spans="3:3" ht="15.75" customHeight="1">
      <c r="C904" s="21"/>
    </row>
    <row r="905" spans="3:3" ht="15.75" customHeight="1">
      <c r="C905" s="21"/>
    </row>
    <row r="906" spans="3:3" ht="15.75" customHeight="1">
      <c r="C906" s="21"/>
    </row>
    <row r="907" spans="3:3" ht="15.75" customHeight="1">
      <c r="C907" s="21"/>
    </row>
    <row r="908" spans="3:3" ht="15.75" customHeight="1">
      <c r="C908" s="21"/>
    </row>
    <row r="909" spans="3:3" ht="15.75" customHeight="1">
      <c r="C909" s="21"/>
    </row>
    <row r="910" spans="3:3" ht="15.75" customHeight="1">
      <c r="C910" s="21"/>
    </row>
    <row r="911" spans="3:3" ht="15.75" customHeight="1">
      <c r="C911" s="21"/>
    </row>
    <row r="912" spans="3:3" ht="15.75" customHeight="1">
      <c r="C912" s="21"/>
    </row>
    <row r="913" spans="3:3" ht="15.75" customHeight="1">
      <c r="C913" s="21"/>
    </row>
    <row r="914" spans="3:3" ht="15.75" customHeight="1">
      <c r="C914" s="21"/>
    </row>
    <row r="915" spans="3:3" ht="15.75" customHeight="1">
      <c r="C915" s="21"/>
    </row>
    <row r="916" spans="3:3" ht="15.75" customHeight="1">
      <c r="C916" s="21"/>
    </row>
    <row r="917" spans="3:3" ht="15.75" customHeight="1">
      <c r="C917" s="21"/>
    </row>
    <row r="918" spans="3:3" ht="15.75" customHeight="1">
      <c r="C918" s="21"/>
    </row>
    <row r="919" spans="3:3" ht="15.75" customHeight="1">
      <c r="C919" s="21"/>
    </row>
    <row r="920" spans="3:3" ht="15.75" customHeight="1">
      <c r="C920" s="21"/>
    </row>
    <row r="921" spans="3:3" ht="15.75" customHeight="1">
      <c r="C921" s="21"/>
    </row>
    <row r="922" spans="3:3" ht="15.75" customHeight="1">
      <c r="C922" s="21"/>
    </row>
    <row r="923" spans="3:3" ht="15.75" customHeight="1">
      <c r="C923" s="21"/>
    </row>
    <row r="924" spans="3:3" ht="15.75" customHeight="1">
      <c r="C924" s="21"/>
    </row>
    <row r="925" spans="3:3" ht="15.75" customHeight="1">
      <c r="C925" s="21"/>
    </row>
    <row r="926" spans="3:3" ht="15.75" customHeight="1">
      <c r="C926" s="21"/>
    </row>
    <row r="927" spans="3:3" ht="15.75" customHeight="1">
      <c r="C927" s="21"/>
    </row>
    <row r="928" spans="3:3" ht="15.75" customHeight="1">
      <c r="C928" s="21"/>
    </row>
    <row r="929" spans="3:3" ht="15.75" customHeight="1">
      <c r="C929" s="21"/>
    </row>
    <row r="930" spans="3:3" ht="15.75" customHeight="1">
      <c r="C930" s="21"/>
    </row>
    <row r="931" spans="3:3" ht="15.75" customHeight="1">
      <c r="C931" s="21"/>
    </row>
    <row r="932" spans="3:3" ht="15.75" customHeight="1">
      <c r="C932" s="21"/>
    </row>
    <row r="933" spans="3:3" ht="15.75" customHeight="1">
      <c r="C933" s="21"/>
    </row>
    <row r="934" spans="3:3" ht="15.75" customHeight="1">
      <c r="C934" s="21"/>
    </row>
    <row r="935" spans="3:3" ht="15.75" customHeight="1">
      <c r="C935" s="21"/>
    </row>
    <row r="936" spans="3:3" ht="15.75" customHeight="1">
      <c r="C936" s="21"/>
    </row>
    <row r="937" spans="3:3" ht="15.75" customHeight="1">
      <c r="C937" s="21"/>
    </row>
    <row r="938" spans="3:3" ht="15.75" customHeight="1">
      <c r="C938" s="21"/>
    </row>
    <row r="939" spans="3:3" ht="15.75" customHeight="1">
      <c r="C939" s="21"/>
    </row>
    <row r="940" spans="3:3" ht="15.75" customHeight="1">
      <c r="C940" s="21"/>
    </row>
    <row r="941" spans="3:3" ht="15.75" customHeight="1">
      <c r="C941" s="21"/>
    </row>
    <row r="942" spans="3:3" ht="15.75" customHeight="1">
      <c r="C942" s="21"/>
    </row>
    <row r="943" spans="3:3" ht="15.75" customHeight="1">
      <c r="C943" s="21"/>
    </row>
    <row r="944" spans="3:3" ht="15.75" customHeight="1">
      <c r="C944" s="21"/>
    </row>
    <row r="945" spans="3:3" ht="15.75" customHeight="1">
      <c r="C945" s="21"/>
    </row>
    <row r="946" spans="3:3" ht="15.75" customHeight="1">
      <c r="C946" s="21"/>
    </row>
    <row r="947" spans="3:3" ht="15.75" customHeight="1">
      <c r="C947" s="21"/>
    </row>
    <row r="948" spans="3:3" ht="15.75" customHeight="1">
      <c r="C948" s="21"/>
    </row>
    <row r="949" spans="3:3" ht="15.75" customHeight="1">
      <c r="C949" s="21"/>
    </row>
    <row r="950" spans="3:3" ht="15.75" customHeight="1">
      <c r="C950" s="21"/>
    </row>
    <row r="951" spans="3:3" ht="15.75" customHeight="1">
      <c r="C951" s="21"/>
    </row>
    <row r="952" spans="3:3" ht="15.75" customHeight="1">
      <c r="C952" s="21"/>
    </row>
    <row r="953" spans="3:3" ht="15.75" customHeight="1">
      <c r="C953" s="21"/>
    </row>
    <row r="954" spans="3:3" ht="15.75" customHeight="1">
      <c r="C954" s="21"/>
    </row>
    <row r="955" spans="3:3" ht="15.75" customHeight="1">
      <c r="C955" s="21"/>
    </row>
    <row r="956" spans="3:3" ht="15.75" customHeight="1">
      <c r="C956" s="21"/>
    </row>
    <row r="957" spans="3:3" ht="15.75" customHeight="1">
      <c r="C957" s="21"/>
    </row>
    <row r="958" spans="3:3" ht="15.75" customHeight="1">
      <c r="C958" s="21"/>
    </row>
    <row r="959" spans="3:3" ht="15.75" customHeight="1">
      <c r="C959" s="21"/>
    </row>
    <row r="960" spans="3:3" ht="15.75" customHeight="1">
      <c r="C960" s="21"/>
    </row>
    <row r="961" spans="3:3" ht="15.75" customHeight="1">
      <c r="C961" s="21"/>
    </row>
    <row r="962" spans="3:3" ht="15.75" customHeight="1">
      <c r="C962" s="21"/>
    </row>
    <row r="963" spans="3:3" ht="15.75" customHeight="1">
      <c r="C963" s="21"/>
    </row>
    <row r="964" spans="3:3" ht="15.75" customHeight="1">
      <c r="C964" s="21"/>
    </row>
    <row r="965" spans="3:3" ht="15.75" customHeight="1">
      <c r="C965" s="21"/>
    </row>
    <row r="966" spans="3:3" ht="15.75" customHeight="1">
      <c r="C966" s="21"/>
    </row>
    <row r="967" spans="3:3" ht="15.75" customHeight="1">
      <c r="C967" s="21"/>
    </row>
    <row r="968" spans="3:3" ht="15.75" customHeight="1">
      <c r="C968" s="21"/>
    </row>
    <row r="969" spans="3:3" ht="15.75" customHeight="1">
      <c r="C969" s="21"/>
    </row>
    <row r="970" spans="3:3" ht="15.75" customHeight="1">
      <c r="C970" s="21"/>
    </row>
    <row r="971" spans="3:3" ht="15.75" customHeight="1">
      <c r="C971" s="21"/>
    </row>
    <row r="972" spans="3:3" ht="15.75" customHeight="1">
      <c r="C972" s="21"/>
    </row>
    <row r="973" spans="3:3" ht="15.75" customHeight="1">
      <c r="C973" s="21"/>
    </row>
    <row r="974" spans="3:3" ht="15.75" customHeight="1">
      <c r="C974" s="21"/>
    </row>
    <row r="975" spans="3:3" ht="15.75" customHeight="1">
      <c r="C975" s="21"/>
    </row>
    <row r="976" spans="3:3" ht="15.75" customHeight="1">
      <c r="C976" s="21"/>
    </row>
    <row r="977" spans="3:3" ht="15.75" customHeight="1">
      <c r="C977" s="21"/>
    </row>
    <row r="978" spans="3:3" ht="15.75" customHeight="1">
      <c r="C978" s="21"/>
    </row>
    <row r="979" spans="3:3" ht="15.75" customHeight="1">
      <c r="C979" s="21"/>
    </row>
    <row r="980" spans="3:3" ht="15.75" customHeight="1">
      <c r="C980" s="21"/>
    </row>
    <row r="981" spans="3:3" ht="15.75" customHeight="1">
      <c r="C981" s="21"/>
    </row>
    <row r="982" spans="3:3" ht="15.75" customHeight="1">
      <c r="C982" s="21"/>
    </row>
    <row r="983" spans="3:3" ht="15.75" customHeight="1">
      <c r="C983" s="21"/>
    </row>
    <row r="984" spans="3:3" ht="15.75" customHeight="1">
      <c r="C984" s="21"/>
    </row>
    <row r="985" spans="3:3" ht="15.75" customHeight="1">
      <c r="C985" s="21"/>
    </row>
    <row r="986" spans="3:3" ht="15.75" customHeight="1">
      <c r="C986" s="21"/>
    </row>
    <row r="987" spans="3:3" ht="15.75" customHeight="1">
      <c r="C987" s="21"/>
    </row>
    <row r="988" spans="3:3" ht="15.75" customHeight="1">
      <c r="C988" s="21"/>
    </row>
    <row r="989" spans="3:3" ht="15.75" customHeight="1">
      <c r="C989" s="21"/>
    </row>
    <row r="990" spans="3:3" ht="15.75" customHeight="1">
      <c r="C990" s="21"/>
    </row>
    <row r="991" spans="3:3" ht="15.75" customHeight="1">
      <c r="C991" s="21"/>
    </row>
    <row r="992" spans="3:3" ht="15.75" customHeight="1">
      <c r="C992" s="21"/>
    </row>
    <row r="993" spans="3:3" ht="15.75" customHeight="1">
      <c r="C993" s="21"/>
    </row>
    <row r="994" spans="3:3" ht="15.75" customHeight="1">
      <c r="C994" s="21"/>
    </row>
    <row r="995" spans="3:3" ht="15.75" customHeight="1">
      <c r="C995" s="21"/>
    </row>
    <row r="996" spans="3:3" ht="15.75" customHeight="1">
      <c r="C996" s="21"/>
    </row>
    <row r="997" spans="3:3" ht="15.75" customHeight="1">
      <c r="C997" s="21"/>
    </row>
    <row r="998" spans="3:3" ht="15.75" customHeight="1">
      <c r="C998" s="21"/>
    </row>
    <row r="999" spans="3:3" ht="15.75" customHeight="1">
      <c r="C999" s="21"/>
    </row>
    <row r="1000" spans="3:3" ht="15.75" customHeight="1">
      <c r="C1000" s="21"/>
    </row>
    <row r="1001" spans="3:3" ht="15.75" customHeight="1">
      <c r="C1001" s="21"/>
    </row>
    <row r="1002" spans="3:3" ht="15.75" customHeight="1">
      <c r="C1002" s="21"/>
    </row>
    <row r="1003" spans="3:3" ht="15.75" customHeight="1">
      <c r="C1003" s="21"/>
    </row>
  </sheetData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AA1003"/>
  <sheetViews>
    <sheetView topLeftCell="K107" workbookViewId="0"/>
  </sheetViews>
  <sheetFormatPr defaultColWidth="14.42578125" defaultRowHeight="15" customHeight="1"/>
  <cols>
    <col min="1" max="1" width="8.7109375" customWidth="1"/>
    <col min="2" max="2" width="10.42578125" customWidth="1"/>
    <col min="3" max="3" width="8.7109375" customWidth="1"/>
    <col min="4" max="4" width="11.140625" customWidth="1"/>
    <col min="5" max="5" width="27.140625" customWidth="1"/>
    <col min="6" max="6" width="8.7109375" customWidth="1"/>
    <col min="7" max="7" width="27.7109375" customWidth="1"/>
    <col min="8" max="8" width="8.7109375" customWidth="1"/>
    <col min="9" max="9" width="26.85546875" customWidth="1"/>
    <col min="10" max="10" width="11.140625" customWidth="1"/>
    <col min="11" max="11" width="34.85546875" customWidth="1"/>
    <col min="12" max="12" width="12.140625" customWidth="1"/>
    <col min="13" max="13" width="27" customWidth="1"/>
    <col min="14" max="14" width="11.5703125" customWidth="1"/>
    <col min="15" max="15" width="28" customWidth="1"/>
    <col min="16" max="16" width="12" customWidth="1"/>
    <col min="17" max="17" width="26.28515625" customWidth="1"/>
    <col min="18" max="18" width="11.7109375" customWidth="1"/>
    <col min="19" max="19" width="26.85546875" customWidth="1"/>
    <col min="20" max="20" width="13.140625" customWidth="1"/>
    <col min="21" max="21" width="26.140625" customWidth="1"/>
    <col min="22" max="22" width="12.85546875" customWidth="1"/>
    <col min="23" max="23" width="26.140625" customWidth="1"/>
    <col min="24" max="24" width="12.28515625" customWidth="1"/>
    <col min="25" max="25" width="30.140625" customWidth="1"/>
    <col min="26" max="26" width="14.7109375" customWidth="1"/>
    <col min="27" max="27" width="24.28515625" customWidth="1"/>
  </cols>
  <sheetData>
    <row r="1" spans="1:27">
      <c r="A1" s="15" t="s">
        <v>146</v>
      </c>
      <c r="B1" s="20"/>
      <c r="C1" s="21"/>
      <c r="D1" s="21"/>
      <c r="E1" s="21"/>
      <c r="F1" s="20"/>
      <c r="H1" s="20"/>
      <c r="J1" s="15"/>
      <c r="K1" s="15"/>
      <c r="L1" s="15"/>
      <c r="M1" s="15"/>
      <c r="N1" s="15"/>
      <c r="O1" s="15"/>
    </row>
    <row r="2" spans="1:27">
      <c r="A2" s="15" t="s">
        <v>128</v>
      </c>
      <c r="B2" s="20"/>
      <c r="C2" s="21"/>
      <c r="D2" s="21"/>
      <c r="E2" s="21"/>
      <c r="F2" s="20"/>
      <c r="H2" s="20"/>
      <c r="J2" s="15"/>
      <c r="K2" s="15"/>
      <c r="L2" s="15"/>
      <c r="M2" s="15"/>
      <c r="N2" s="15"/>
      <c r="O2" s="15"/>
    </row>
    <row r="3" spans="1:27">
      <c r="A3" s="15" t="s">
        <v>128</v>
      </c>
      <c r="B3" s="20"/>
      <c r="C3" s="21"/>
      <c r="D3" s="21"/>
      <c r="E3" s="21"/>
      <c r="F3" s="20"/>
      <c r="H3" s="20"/>
      <c r="J3" s="15"/>
      <c r="K3" s="15"/>
      <c r="L3" s="15"/>
      <c r="M3" s="15"/>
      <c r="N3" s="15"/>
      <c r="O3" s="15"/>
    </row>
    <row r="4" spans="1:27">
      <c r="A4" s="15" t="s">
        <v>51</v>
      </c>
      <c r="B4" s="20">
        <v>42936</v>
      </c>
      <c r="C4" s="21" t="s">
        <v>75</v>
      </c>
      <c r="D4" s="21" t="s">
        <v>130</v>
      </c>
      <c r="E4" s="21" t="s">
        <v>1</v>
      </c>
      <c r="F4" s="20">
        <v>43102</v>
      </c>
      <c r="G4" t="s">
        <v>1</v>
      </c>
      <c r="H4" s="20">
        <v>43289</v>
      </c>
      <c r="I4" t="s">
        <v>2</v>
      </c>
      <c r="J4" s="15" t="s">
        <v>147</v>
      </c>
      <c r="K4" s="15" t="s">
        <v>132</v>
      </c>
      <c r="L4" s="15" t="s">
        <v>90</v>
      </c>
      <c r="M4" s="15" t="s">
        <v>91</v>
      </c>
      <c r="N4" s="15" t="s">
        <v>6</v>
      </c>
      <c r="O4" s="15" t="s">
        <v>92</v>
      </c>
      <c r="P4" s="15" t="s">
        <v>7</v>
      </c>
      <c r="Q4" s="15" t="s">
        <v>93</v>
      </c>
      <c r="R4" s="15" t="s">
        <v>148</v>
      </c>
      <c r="S4" s="15" t="s">
        <v>149</v>
      </c>
      <c r="T4" s="31">
        <v>44147</v>
      </c>
      <c r="U4" s="15" t="s">
        <v>138</v>
      </c>
      <c r="V4" s="15" t="s">
        <v>122</v>
      </c>
      <c r="W4" s="15" t="s">
        <v>123</v>
      </c>
      <c r="X4" s="15" t="s">
        <v>139</v>
      </c>
      <c r="Y4" s="15" t="s">
        <v>140</v>
      </c>
      <c r="Z4" s="15" t="s">
        <v>141</v>
      </c>
      <c r="AA4" s="15" t="s">
        <v>142</v>
      </c>
    </row>
    <row r="5" spans="1:27">
      <c r="A5" s="21">
        <v>1</v>
      </c>
      <c r="B5" s="21">
        <v>4.2</v>
      </c>
      <c r="C5" s="21">
        <v>4.2</v>
      </c>
      <c r="D5" s="21">
        <v>5.8</v>
      </c>
      <c r="E5" s="21"/>
      <c r="F5">
        <v>4.5</v>
      </c>
      <c r="H5">
        <v>4.5</v>
      </c>
      <c r="I5" t="s">
        <v>56</v>
      </c>
      <c r="J5" s="34">
        <v>4.4000000000000004</v>
      </c>
      <c r="K5" s="15" t="s">
        <v>56</v>
      </c>
      <c r="L5" s="35">
        <v>4.7</v>
      </c>
      <c r="M5" s="15" t="s">
        <v>56</v>
      </c>
      <c r="N5" s="35">
        <v>5.0999999999999996</v>
      </c>
      <c r="O5" s="15" t="s">
        <v>56</v>
      </c>
      <c r="P5" s="35">
        <v>5.9</v>
      </c>
      <c r="R5" s="35">
        <v>4.5999999999999996</v>
      </c>
      <c r="S5" s="15" t="s">
        <v>56</v>
      </c>
      <c r="T5" s="49">
        <v>8.6999999999999993</v>
      </c>
      <c r="U5" s="15" t="s">
        <v>56</v>
      </c>
      <c r="V5" s="34">
        <v>5.72</v>
      </c>
      <c r="W5" s="15" t="s">
        <v>56</v>
      </c>
      <c r="X5" s="49">
        <v>5.43</v>
      </c>
      <c r="Y5" s="15" t="s">
        <v>56</v>
      </c>
      <c r="Z5" s="49">
        <v>7.1</v>
      </c>
      <c r="AA5" s="69" t="s">
        <v>56</v>
      </c>
    </row>
    <row r="6" spans="1:27">
      <c r="A6" s="21">
        <v>2</v>
      </c>
      <c r="B6" s="21">
        <v>6.5</v>
      </c>
      <c r="C6" s="21">
        <v>4.4000000000000004</v>
      </c>
      <c r="D6" s="21">
        <v>4.8</v>
      </c>
      <c r="E6" s="21"/>
      <c r="F6">
        <v>4.5999999999999996</v>
      </c>
      <c r="H6">
        <v>5.4</v>
      </c>
      <c r="I6" s="21" t="s">
        <v>56</v>
      </c>
      <c r="J6" s="34">
        <v>5.0999999999999996</v>
      </c>
      <c r="K6" s="15" t="s">
        <v>56</v>
      </c>
      <c r="L6" s="35">
        <v>5.3</v>
      </c>
      <c r="M6" s="15" t="s">
        <v>56</v>
      </c>
      <c r="N6" s="35">
        <v>4.3</v>
      </c>
      <c r="O6" s="15" t="s">
        <v>56</v>
      </c>
      <c r="P6" s="35">
        <v>5.6</v>
      </c>
      <c r="R6" s="35">
        <v>4.8</v>
      </c>
      <c r="S6" s="15" t="s">
        <v>56</v>
      </c>
      <c r="T6" s="49">
        <v>7.48</v>
      </c>
      <c r="U6" s="15" t="s">
        <v>56</v>
      </c>
      <c r="V6" s="34">
        <v>5.9</v>
      </c>
      <c r="W6" s="15" t="s">
        <v>56</v>
      </c>
      <c r="X6" s="49">
        <v>5.79</v>
      </c>
      <c r="Y6" s="15" t="s">
        <v>56</v>
      </c>
      <c r="Z6" s="49">
        <v>6</v>
      </c>
      <c r="AA6" s="69" t="s">
        <v>56</v>
      </c>
    </row>
    <row r="7" spans="1:27">
      <c r="A7" s="21">
        <v>3</v>
      </c>
      <c r="B7" s="21">
        <v>5.0999999999999996</v>
      </c>
      <c r="C7" s="21">
        <v>4.5</v>
      </c>
      <c r="D7" s="21">
        <v>5.6</v>
      </c>
      <c r="E7" s="21"/>
      <c r="F7">
        <v>4.3</v>
      </c>
      <c r="H7">
        <v>4.4000000000000004</v>
      </c>
      <c r="I7" s="21" t="s">
        <v>56</v>
      </c>
      <c r="J7" s="34">
        <v>4.8</v>
      </c>
      <c r="K7" s="15" t="s">
        <v>56</v>
      </c>
      <c r="L7" s="35">
        <v>5.5</v>
      </c>
      <c r="M7" s="15" t="s">
        <v>56</v>
      </c>
      <c r="N7" s="35">
        <v>4.5999999999999996</v>
      </c>
      <c r="O7" s="15" t="s">
        <v>56</v>
      </c>
      <c r="P7" s="35">
        <v>7.2</v>
      </c>
      <c r="R7" s="35">
        <v>5.5</v>
      </c>
      <c r="S7" s="15" t="s">
        <v>56</v>
      </c>
      <c r="T7" s="56">
        <v>11.09</v>
      </c>
      <c r="U7" s="15" t="s">
        <v>58</v>
      </c>
      <c r="V7" s="34">
        <v>6.3</v>
      </c>
      <c r="W7" s="15" t="s">
        <v>56</v>
      </c>
      <c r="X7" s="49">
        <v>6.15</v>
      </c>
      <c r="Y7" s="15" t="s">
        <v>56</v>
      </c>
      <c r="Z7" s="49">
        <v>6.7</v>
      </c>
      <c r="AA7" s="69" t="s">
        <v>56</v>
      </c>
    </row>
    <row r="8" spans="1:27">
      <c r="A8" s="21">
        <v>4</v>
      </c>
      <c r="B8" s="21">
        <v>4.3</v>
      </c>
      <c r="C8" s="21">
        <v>4.5</v>
      </c>
      <c r="D8" s="21">
        <v>4.0999999999999996</v>
      </c>
      <c r="E8" s="21"/>
      <c r="F8">
        <v>4.3</v>
      </c>
      <c r="H8">
        <v>4.2</v>
      </c>
      <c r="I8" s="21" t="s">
        <v>56</v>
      </c>
      <c r="J8" s="34">
        <v>4.0999999999999996</v>
      </c>
      <c r="K8" s="15" t="s">
        <v>56</v>
      </c>
      <c r="L8" s="35">
        <v>5.0999999999999996</v>
      </c>
      <c r="M8" s="15" t="s">
        <v>56</v>
      </c>
      <c r="N8" s="35">
        <v>4.9000000000000004</v>
      </c>
      <c r="O8" s="15" t="s">
        <v>56</v>
      </c>
      <c r="P8" s="35">
        <v>5.2</v>
      </c>
      <c r="R8" s="35">
        <v>4.2</v>
      </c>
      <c r="S8" s="15" t="s">
        <v>56</v>
      </c>
      <c r="T8" s="49">
        <v>6.84</v>
      </c>
      <c r="U8" s="15" t="s">
        <v>56</v>
      </c>
      <c r="V8" s="34">
        <v>5.28</v>
      </c>
      <c r="W8" s="15" t="s">
        <v>56</v>
      </c>
      <c r="X8" s="49">
        <v>4.8899999999999997</v>
      </c>
      <c r="Y8" s="15" t="s">
        <v>56</v>
      </c>
      <c r="Z8" s="49">
        <v>6.9</v>
      </c>
      <c r="AA8" s="69" t="s">
        <v>56</v>
      </c>
    </row>
    <row r="9" spans="1:27">
      <c r="A9" s="21">
        <v>5</v>
      </c>
      <c r="B9" s="21">
        <v>4.5</v>
      </c>
      <c r="C9" s="21">
        <v>4.7</v>
      </c>
      <c r="D9" s="21">
        <v>5.0999999999999996</v>
      </c>
      <c r="E9" s="21"/>
      <c r="F9">
        <v>4.4000000000000004</v>
      </c>
      <c r="H9">
        <v>4.2</v>
      </c>
      <c r="I9" s="21" t="s">
        <v>56</v>
      </c>
      <c r="J9" s="34">
        <v>4.5999999999999996</v>
      </c>
      <c r="K9" s="15" t="s">
        <v>56</v>
      </c>
      <c r="L9" s="35">
        <v>5.6</v>
      </c>
      <c r="M9" s="15" t="s">
        <v>56</v>
      </c>
      <c r="N9" s="35">
        <v>4.2</v>
      </c>
      <c r="O9" s="15" t="s">
        <v>56</v>
      </c>
      <c r="P9" s="35">
        <v>5.6</v>
      </c>
      <c r="R9" s="35">
        <v>5.2</v>
      </c>
      <c r="S9" s="15" t="s">
        <v>56</v>
      </c>
      <c r="T9" s="49">
        <v>7.64</v>
      </c>
      <c r="U9" s="15" t="s">
        <v>56</v>
      </c>
      <c r="V9" s="34">
        <v>6.92</v>
      </c>
      <c r="W9" s="15" t="s">
        <v>56</v>
      </c>
      <c r="X9" s="49">
        <v>6.23</v>
      </c>
      <c r="Y9" s="15" t="s">
        <v>56</v>
      </c>
      <c r="Z9" s="49">
        <v>7.4</v>
      </c>
      <c r="AA9" s="69" t="s">
        <v>56</v>
      </c>
    </row>
    <row r="10" spans="1:27">
      <c r="A10" s="21">
        <v>6</v>
      </c>
      <c r="B10" s="21">
        <v>4.2</v>
      </c>
      <c r="C10" s="21">
        <v>4.0999999999999996</v>
      </c>
      <c r="D10" s="21">
        <v>4.2</v>
      </c>
      <c r="E10" s="21"/>
      <c r="F10">
        <v>4.3</v>
      </c>
      <c r="H10">
        <v>4</v>
      </c>
      <c r="I10" s="21" t="s">
        <v>56</v>
      </c>
      <c r="J10" s="34">
        <v>4.4000000000000004</v>
      </c>
      <c r="K10" s="15" t="s">
        <v>56</v>
      </c>
      <c r="L10" s="35">
        <v>5.4</v>
      </c>
      <c r="M10" s="15" t="s">
        <v>56</v>
      </c>
      <c r="N10" s="35">
        <v>5</v>
      </c>
      <c r="O10" s="15" t="s">
        <v>56</v>
      </c>
      <c r="P10" s="35">
        <v>5.2</v>
      </c>
      <c r="R10" s="35">
        <v>4.8</v>
      </c>
      <c r="S10" s="15" t="s">
        <v>56</v>
      </c>
      <c r="T10" s="56">
        <v>10</v>
      </c>
      <c r="U10" s="15" t="s">
        <v>58</v>
      </c>
      <c r="V10" s="34">
        <v>5.96</v>
      </c>
      <c r="W10" s="15" t="s">
        <v>56</v>
      </c>
      <c r="X10" s="49">
        <v>5.76</v>
      </c>
      <c r="Y10" s="15" t="s">
        <v>56</v>
      </c>
      <c r="Z10" s="49">
        <v>6.3</v>
      </c>
      <c r="AA10" s="69" t="s">
        <v>56</v>
      </c>
    </row>
    <row r="11" spans="1:27">
      <c r="A11" s="21">
        <v>7</v>
      </c>
      <c r="B11" s="21">
        <v>4.2</v>
      </c>
      <c r="C11" s="21">
        <v>4.4000000000000004</v>
      </c>
      <c r="D11" s="21">
        <v>6.4</v>
      </c>
      <c r="E11" s="21"/>
      <c r="F11">
        <v>4.3</v>
      </c>
      <c r="H11">
        <v>4.0999999999999996</v>
      </c>
      <c r="I11" s="21" t="s">
        <v>56</v>
      </c>
      <c r="J11" s="34">
        <v>4.2</v>
      </c>
      <c r="K11" s="15" t="s">
        <v>56</v>
      </c>
      <c r="L11" s="35">
        <v>5.0999999999999996</v>
      </c>
      <c r="M11" s="15" t="s">
        <v>56</v>
      </c>
      <c r="N11" s="35">
        <v>4.7</v>
      </c>
      <c r="O11" s="15" t="s">
        <v>56</v>
      </c>
      <c r="P11" s="35">
        <v>6</v>
      </c>
      <c r="R11" s="35">
        <v>4.7</v>
      </c>
      <c r="S11" s="15" t="s">
        <v>56</v>
      </c>
      <c r="T11" s="56">
        <v>9.61</v>
      </c>
      <c r="U11" s="15" t="s">
        <v>58</v>
      </c>
      <c r="V11" s="34">
        <v>7.54</v>
      </c>
      <c r="W11" s="15" t="s">
        <v>56</v>
      </c>
      <c r="X11" s="49">
        <v>5.92</v>
      </c>
      <c r="Y11" s="15" t="s">
        <v>56</v>
      </c>
      <c r="Z11" s="49">
        <v>7</v>
      </c>
      <c r="AA11" s="69" t="s">
        <v>56</v>
      </c>
    </row>
    <row r="12" spans="1:27">
      <c r="A12" s="21">
        <v>8</v>
      </c>
      <c r="B12" s="21">
        <v>4.0999999999999996</v>
      </c>
      <c r="C12" s="21">
        <v>4.7</v>
      </c>
      <c r="D12" s="21">
        <v>4.7</v>
      </c>
      <c r="E12" s="21"/>
      <c r="F12">
        <v>5.0999999999999996</v>
      </c>
      <c r="H12">
        <v>4.0999999999999996</v>
      </c>
      <c r="I12" s="21" t="s">
        <v>56</v>
      </c>
      <c r="J12" s="34">
        <v>4.7</v>
      </c>
      <c r="K12" s="15" t="s">
        <v>56</v>
      </c>
      <c r="L12" s="35">
        <v>5.2</v>
      </c>
      <c r="M12" s="15" t="s">
        <v>56</v>
      </c>
      <c r="N12" s="35">
        <v>4.5</v>
      </c>
      <c r="O12" s="15" t="s">
        <v>56</v>
      </c>
      <c r="P12" s="35">
        <v>5.3</v>
      </c>
      <c r="R12" s="35">
        <v>4.9000000000000004</v>
      </c>
      <c r="S12" s="15" t="s">
        <v>56</v>
      </c>
      <c r="T12" s="49">
        <v>7.17</v>
      </c>
      <c r="U12" s="15" t="s">
        <v>56</v>
      </c>
      <c r="V12" s="34">
        <v>6.93</v>
      </c>
      <c r="W12" s="15" t="s">
        <v>56</v>
      </c>
      <c r="X12" s="49">
        <v>6.44</v>
      </c>
      <c r="Y12" s="15" t="s">
        <v>56</v>
      </c>
      <c r="Z12" s="49">
        <v>6.4</v>
      </c>
      <c r="AA12" s="69" t="s">
        <v>56</v>
      </c>
    </row>
    <row r="13" spans="1:27">
      <c r="A13" s="21">
        <v>9</v>
      </c>
      <c r="B13" s="21">
        <v>4.5</v>
      </c>
      <c r="C13" s="21">
        <v>4.0999999999999996</v>
      </c>
      <c r="D13" s="21">
        <v>6.4</v>
      </c>
      <c r="E13" s="21"/>
      <c r="F13">
        <v>4.4000000000000004</v>
      </c>
      <c r="H13">
        <v>5.0999999999999996</v>
      </c>
      <c r="I13" s="21" t="s">
        <v>56</v>
      </c>
      <c r="J13" s="34">
        <v>5</v>
      </c>
      <c r="K13" s="15" t="s">
        <v>56</v>
      </c>
      <c r="L13" s="35">
        <v>5.2</v>
      </c>
      <c r="M13" s="15" t="s">
        <v>56</v>
      </c>
      <c r="N13" s="35">
        <v>5.4</v>
      </c>
      <c r="O13" s="15" t="s">
        <v>56</v>
      </c>
      <c r="P13" s="35">
        <v>6.2</v>
      </c>
      <c r="R13" s="35">
        <v>5.3</v>
      </c>
      <c r="S13" s="15" t="s">
        <v>56</v>
      </c>
      <c r="T13" s="49">
        <v>8.5399999999999991</v>
      </c>
      <c r="U13" s="15" t="s">
        <v>56</v>
      </c>
      <c r="V13" s="34">
        <v>6.17</v>
      </c>
      <c r="W13" s="15" t="s">
        <v>56</v>
      </c>
      <c r="X13" s="49">
        <v>6.12</v>
      </c>
      <c r="Y13" s="15" t="s">
        <v>56</v>
      </c>
      <c r="Z13" s="49">
        <v>6.4</v>
      </c>
      <c r="AA13" s="69" t="s">
        <v>56</v>
      </c>
    </row>
    <row r="14" spans="1:27">
      <c r="A14" s="21">
        <v>10</v>
      </c>
      <c r="B14" s="21">
        <v>4.5999999999999996</v>
      </c>
      <c r="C14" s="21">
        <v>4.0999999999999996</v>
      </c>
      <c r="D14" s="21">
        <v>6.6</v>
      </c>
      <c r="E14" s="21"/>
      <c r="F14">
        <v>4.5999999999999996</v>
      </c>
      <c r="H14">
        <v>4.7</v>
      </c>
      <c r="I14" s="21" t="s">
        <v>56</v>
      </c>
      <c r="J14" s="34">
        <v>4.5</v>
      </c>
      <c r="K14" s="15" t="s">
        <v>56</v>
      </c>
      <c r="L14" s="35">
        <v>5.5</v>
      </c>
      <c r="M14" s="15" t="s">
        <v>56</v>
      </c>
      <c r="N14" s="35">
        <v>4.5999999999999996</v>
      </c>
      <c r="O14" s="15" t="s">
        <v>56</v>
      </c>
      <c r="P14" s="35">
        <v>5.8</v>
      </c>
      <c r="R14" s="35">
        <v>4.8</v>
      </c>
      <c r="S14" s="15" t="s">
        <v>56</v>
      </c>
      <c r="T14" s="49">
        <v>6.98</v>
      </c>
      <c r="U14" s="15" t="s">
        <v>56</v>
      </c>
      <c r="V14" s="34">
        <v>6.02</v>
      </c>
      <c r="W14" s="15" t="s">
        <v>56</v>
      </c>
      <c r="X14" s="49">
        <v>5.99</v>
      </c>
      <c r="Y14" s="15" t="s">
        <v>56</v>
      </c>
      <c r="Z14" s="49">
        <v>6.6</v>
      </c>
      <c r="AA14" s="69" t="s">
        <v>56</v>
      </c>
    </row>
    <row r="15" spans="1:27">
      <c r="A15" s="21">
        <v>11</v>
      </c>
      <c r="B15" s="21">
        <v>5</v>
      </c>
      <c r="C15" s="21">
        <v>4.2</v>
      </c>
      <c r="D15" s="21">
        <v>4.5</v>
      </c>
      <c r="E15" s="21"/>
      <c r="F15">
        <v>4.5999999999999996</v>
      </c>
      <c r="H15">
        <v>4.9000000000000004</v>
      </c>
      <c r="I15" s="21" t="s">
        <v>56</v>
      </c>
      <c r="J15" s="34">
        <v>4.7</v>
      </c>
      <c r="K15" s="15" t="s">
        <v>56</v>
      </c>
      <c r="L15" s="35">
        <v>5.5</v>
      </c>
      <c r="M15" s="15" t="s">
        <v>56</v>
      </c>
      <c r="N15" s="35">
        <v>5</v>
      </c>
      <c r="O15" s="15" t="s">
        <v>56</v>
      </c>
      <c r="P15" s="35">
        <v>5.8</v>
      </c>
      <c r="R15" s="35">
        <v>4.4000000000000004</v>
      </c>
      <c r="S15" s="15" t="s">
        <v>56</v>
      </c>
      <c r="T15" s="49">
        <v>8.32</v>
      </c>
      <c r="U15" s="15" t="s">
        <v>56</v>
      </c>
      <c r="V15" s="34">
        <v>5.98</v>
      </c>
      <c r="W15" s="15" t="s">
        <v>56</v>
      </c>
      <c r="X15" s="49">
        <v>5.57</v>
      </c>
      <c r="Y15" s="15" t="s">
        <v>56</v>
      </c>
      <c r="Z15" s="49">
        <v>6.4</v>
      </c>
      <c r="AA15" s="69" t="s">
        <v>56</v>
      </c>
    </row>
    <row r="16" spans="1:27">
      <c r="A16" s="21">
        <v>12</v>
      </c>
      <c r="B16" s="21">
        <v>4.4000000000000004</v>
      </c>
      <c r="C16" s="21">
        <v>4.9000000000000004</v>
      </c>
      <c r="D16" s="21">
        <v>5.4</v>
      </c>
      <c r="E16" s="21"/>
      <c r="F16">
        <v>4.8</v>
      </c>
      <c r="H16">
        <v>4.5999999999999996</v>
      </c>
      <c r="I16" s="21" t="s">
        <v>56</v>
      </c>
      <c r="J16" s="34">
        <v>4.7</v>
      </c>
      <c r="K16" s="15" t="s">
        <v>56</v>
      </c>
      <c r="L16" s="35">
        <v>5.0999999999999996</v>
      </c>
      <c r="M16" s="15" t="s">
        <v>56</v>
      </c>
      <c r="N16" s="35">
        <v>5.0999999999999996</v>
      </c>
      <c r="O16" s="15" t="s">
        <v>56</v>
      </c>
      <c r="P16" s="35">
        <v>5.6</v>
      </c>
      <c r="R16" s="35">
        <v>4.5999999999999996</v>
      </c>
      <c r="S16" s="15" t="s">
        <v>56</v>
      </c>
      <c r="T16" s="49">
        <v>8.9600000000000009</v>
      </c>
      <c r="U16" s="15" t="s">
        <v>56</v>
      </c>
      <c r="V16" s="34">
        <v>6.06</v>
      </c>
      <c r="W16" s="15" t="s">
        <v>56</v>
      </c>
      <c r="X16" s="49">
        <v>6.09</v>
      </c>
      <c r="Y16" s="15" t="s">
        <v>56</v>
      </c>
      <c r="Z16" s="49">
        <v>7.5</v>
      </c>
      <c r="AA16" s="69" t="s">
        <v>56</v>
      </c>
    </row>
    <row r="17" spans="1:27">
      <c r="A17" s="21">
        <v>13</v>
      </c>
      <c r="B17" s="21">
        <v>4.3</v>
      </c>
      <c r="C17" s="21">
        <v>4.0999999999999996</v>
      </c>
      <c r="D17" s="21">
        <v>5.6</v>
      </c>
      <c r="E17" s="21"/>
      <c r="F17">
        <v>4.7</v>
      </c>
      <c r="H17">
        <v>4.3</v>
      </c>
      <c r="I17" s="21" t="s">
        <v>56</v>
      </c>
      <c r="J17" s="34">
        <v>4.4000000000000004</v>
      </c>
      <c r="K17" s="15" t="s">
        <v>56</v>
      </c>
      <c r="L17" s="35">
        <v>5.0999999999999996</v>
      </c>
      <c r="M17" s="15" t="s">
        <v>56</v>
      </c>
      <c r="N17" s="35">
        <v>5.0999999999999996</v>
      </c>
      <c r="O17" s="15" t="s">
        <v>56</v>
      </c>
      <c r="P17" s="35">
        <v>5.3</v>
      </c>
      <c r="R17" s="35">
        <v>4.7</v>
      </c>
      <c r="S17" s="15" t="s">
        <v>56</v>
      </c>
      <c r="T17" s="49">
        <v>7.07</v>
      </c>
      <c r="U17" s="15" t="s">
        <v>56</v>
      </c>
      <c r="V17" s="34">
        <v>5.79</v>
      </c>
      <c r="W17" s="15" t="s">
        <v>56</v>
      </c>
      <c r="X17" s="49">
        <v>5.85</v>
      </c>
      <c r="Y17" s="15" t="s">
        <v>56</v>
      </c>
      <c r="Z17" s="49">
        <v>6.8</v>
      </c>
      <c r="AA17" s="69" t="s">
        <v>56</v>
      </c>
    </row>
    <row r="18" spans="1:27">
      <c r="A18" s="21">
        <v>14</v>
      </c>
      <c r="B18" s="21">
        <v>5</v>
      </c>
      <c r="C18" s="21">
        <v>4.8</v>
      </c>
      <c r="D18" s="21">
        <v>4.5</v>
      </c>
      <c r="E18" s="21"/>
      <c r="F18">
        <v>4.5</v>
      </c>
      <c r="H18">
        <v>4</v>
      </c>
      <c r="I18" s="21" t="s">
        <v>56</v>
      </c>
      <c r="J18" s="34">
        <v>4.4000000000000004</v>
      </c>
      <c r="K18" s="15" t="s">
        <v>56</v>
      </c>
      <c r="L18" s="35">
        <v>5.4</v>
      </c>
      <c r="M18" s="15" t="s">
        <v>56</v>
      </c>
      <c r="N18" s="35">
        <v>4.9000000000000004</v>
      </c>
      <c r="O18" s="15" t="s">
        <v>56</v>
      </c>
      <c r="P18" s="35">
        <v>5.7</v>
      </c>
      <c r="R18" s="35">
        <v>4.9000000000000004</v>
      </c>
      <c r="S18" s="15" t="s">
        <v>56</v>
      </c>
      <c r="T18" s="56">
        <v>9.4700000000000006</v>
      </c>
      <c r="U18" s="15" t="s">
        <v>58</v>
      </c>
      <c r="V18" s="34">
        <v>7.2</v>
      </c>
      <c r="W18" s="15" t="s">
        <v>56</v>
      </c>
      <c r="X18" s="49">
        <v>6.21</v>
      </c>
      <c r="Y18" s="15" t="s">
        <v>56</v>
      </c>
      <c r="Z18" s="49">
        <v>7</v>
      </c>
      <c r="AA18" s="69" t="s">
        <v>56</v>
      </c>
    </row>
    <row r="19" spans="1:27">
      <c r="A19" s="21">
        <v>15</v>
      </c>
      <c r="B19" s="21">
        <v>4.7</v>
      </c>
      <c r="C19" s="21">
        <v>4.9000000000000004</v>
      </c>
      <c r="D19" s="21">
        <v>5.0999999999999996</v>
      </c>
      <c r="E19" s="21"/>
      <c r="F19">
        <v>4</v>
      </c>
      <c r="H19">
        <v>4.0999999999999996</v>
      </c>
      <c r="I19" s="21" t="s">
        <v>56</v>
      </c>
      <c r="J19" s="34">
        <v>4.3</v>
      </c>
      <c r="K19" s="15" t="s">
        <v>56</v>
      </c>
      <c r="L19" s="35">
        <v>5.5</v>
      </c>
      <c r="M19" s="15" t="s">
        <v>56</v>
      </c>
      <c r="N19" s="35">
        <v>4.7</v>
      </c>
      <c r="O19" s="15" t="s">
        <v>56</v>
      </c>
      <c r="P19" s="35">
        <v>5.6</v>
      </c>
      <c r="R19" s="35">
        <v>4.7</v>
      </c>
      <c r="S19" s="15" t="s">
        <v>56</v>
      </c>
      <c r="T19" s="49">
        <v>8.06</v>
      </c>
      <c r="U19" s="15" t="s">
        <v>56</v>
      </c>
      <c r="V19" s="34">
        <v>5.94</v>
      </c>
      <c r="W19" s="15" t="s">
        <v>56</v>
      </c>
      <c r="X19" s="49">
        <v>5.47</v>
      </c>
      <c r="Y19" s="15" t="s">
        <v>56</v>
      </c>
      <c r="Z19" s="49">
        <v>7</v>
      </c>
      <c r="AA19" s="69" t="s">
        <v>56</v>
      </c>
    </row>
    <row r="20" spans="1:27">
      <c r="A20" s="21">
        <v>16</v>
      </c>
      <c r="B20" s="21">
        <v>3.9</v>
      </c>
      <c r="C20" s="21">
        <v>4.4000000000000004</v>
      </c>
      <c r="D20" s="21">
        <v>5.4</v>
      </c>
      <c r="E20" s="21"/>
      <c r="F20">
        <v>4.2</v>
      </c>
      <c r="H20">
        <v>4.3</v>
      </c>
      <c r="I20" s="21" t="s">
        <v>56</v>
      </c>
      <c r="J20" s="34">
        <v>4.4000000000000004</v>
      </c>
      <c r="K20" s="15" t="s">
        <v>56</v>
      </c>
      <c r="L20" s="35">
        <v>5.2</v>
      </c>
      <c r="M20" s="15" t="s">
        <v>56</v>
      </c>
      <c r="N20" s="35">
        <v>4.5999999999999996</v>
      </c>
      <c r="O20" s="15" t="s">
        <v>56</v>
      </c>
      <c r="P20" s="35">
        <v>6</v>
      </c>
      <c r="R20" s="35">
        <v>4.8</v>
      </c>
      <c r="S20" s="15" t="s">
        <v>56</v>
      </c>
      <c r="T20" s="49">
        <v>5.22</v>
      </c>
      <c r="U20" s="15" t="s">
        <v>56</v>
      </c>
      <c r="V20" s="34">
        <v>7.45</v>
      </c>
      <c r="W20" s="15" t="s">
        <v>56</v>
      </c>
      <c r="X20" s="49">
        <v>6.13</v>
      </c>
      <c r="Y20" s="15" t="s">
        <v>56</v>
      </c>
      <c r="Z20" s="49">
        <v>7</v>
      </c>
      <c r="AA20" s="69" t="s">
        <v>56</v>
      </c>
    </row>
    <row r="21" spans="1:27">
      <c r="A21" s="21">
        <v>17</v>
      </c>
      <c r="B21" s="21">
        <v>4.0999999999999996</v>
      </c>
      <c r="C21" s="21">
        <v>3.9</v>
      </c>
      <c r="D21" s="21">
        <v>5.6</v>
      </c>
      <c r="E21" s="21"/>
      <c r="F21">
        <v>4.3</v>
      </c>
      <c r="H21">
        <v>3.9</v>
      </c>
      <c r="I21" s="21" t="s">
        <v>56</v>
      </c>
      <c r="J21" s="34">
        <v>4.5</v>
      </c>
      <c r="K21" s="15" t="s">
        <v>56</v>
      </c>
      <c r="L21" s="35">
        <v>5.5</v>
      </c>
      <c r="M21" s="15" t="s">
        <v>56</v>
      </c>
      <c r="N21" s="35">
        <v>4.7</v>
      </c>
      <c r="O21" s="15" t="s">
        <v>56</v>
      </c>
      <c r="P21" s="35">
        <v>5.4</v>
      </c>
      <c r="R21" s="35">
        <v>4.9000000000000004</v>
      </c>
      <c r="S21" s="15" t="s">
        <v>56</v>
      </c>
      <c r="T21" s="49">
        <v>7.23</v>
      </c>
      <c r="U21" s="15" t="s">
        <v>56</v>
      </c>
      <c r="V21" s="34">
        <v>7.11</v>
      </c>
      <c r="W21" s="15" t="s">
        <v>56</v>
      </c>
      <c r="X21" s="49">
        <v>6.37</v>
      </c>
      <c r="Y21" s="15" t="s">
        <v>56</v>
      </c>
      <c r="Z21" s="49">
        <v>5.6</v>
      </c>
      <c r="AA21" s="69" t="s">
        <v>56</v>
      </c>
    </row>
    <row r="22" spans="1:27">
      <c r="A22" s="21">
        <v>18</v>
      </c>
      <c r="B22" s="21">
        <v>4.5999999999999996</v>
      </c>
      <c r="C22" s="21">
        <v>4.4000000000000004</v>
      </c>
      <c r="D22" s="21">
        <v>5.0999999999999996</v>
      </c>
      <c r="E22" s="21"/>
      <c r="F22">
        <v>4.7</v>
      </c>
      <c r="H22">
        <v>4.5</v>
      </c>
      <c r="I22" s="21" t="s">
        <v>56</v>
      </c>
      <c r="J22" s="34">
        <v>4.5999999999999996</v>
      </c>
      <c r="K22" s="15" t="s">
        <v>56</v>
      </c>
      <c r="L22" s="35">
        <v>5.4</v>
      </c>
      <c r="M22" s="15" t="s">
        <v>56</v>
      </c>
      <c r="N22" s="35">
        <v>4.8</v>
      </c>
      <c r="O22" s="15" t="s">
        <v>56</v>
      </c>
      <c r="P22" s="35">
        <v>5.5</v>
      </c>
      <c r="R22" s="35">
        <v>4.8</v>
      </c>
      <c r="S22" s="15" t="s">
        <v>56</v>
      </c>
      <c r="T22" s="58">
        <v>18.05</v>
      </c>
      <c r="U22" s="15" t="s">
        <v>60</v>
      </c>
      <c r="V22" s="34">
        <v>6.09</v>
      </c>
      <c r="W22" s="15" t="s">
        <v>56</v>
      </c>
      <c r="X22" s="49">
        <v>6</v>
      </c>
      <c r="Y22" s="15" t="s">
        <v>56</v>
      </c>
      <c r="Z22" s="49">
        <v>7</v>
      </c>
      <c r="AA22" s="69" t="s">
        <v>56</v>
      </c>
    </row>
    <row r="23" spans="1:27">
      <c r="A23" s="21">
        <v>19</v>
      </c>
      <c r="B23" s="21">
        <v>5.7</v>
      </c>
      <c r="C23" s="21">
        <v>4.7</v>
      </c>
      <c r="D23" s="21">
        <v>6.2</v>
      </c>
      <c r="E23" s="21"/>
      <c r="F23">
        <v>4.8</v>
      </c>
      <c r="H23">
        <v>4.0999999999999996</v>
      </c>
      <c r="I23" s="21" t="s">
        <v>56</v>
      </c>
      <c r="J23" s="34">
        <v>5.5</v>
      </c>
      <c r="K23" s="15" t="s">
        <v>56</v>
      </c>
      <c r="L23" s="35">
        <v>5.0999999999999996</v>
      </c>
      <c r="M23" s="15" t="s">
        <v>56</v>
      </c>
      <c r="N23" s="35">
        <v>5.0999999999999996</v>
      </c>
      <c r="O23" s="15" t="s">
        <v>56</v>
      </c>
      <c r="P23" s="35">
        <v>5.9</v>
      </c>
      <c r="R23" s="35">
        <v>4.8</v>
      </c>
      <c r="S23" s="15" t="s">
        <v>56</v>
      </c>
      <c r="T23" s="49">
        <v>7.3</v>
      </c>
      <c r="U23" s="15" t="s">
        <v>56</v>
      </c>
      <c r="V23" s="34">
        <v>6.09</v>
      </c>
      <c r="W23" s="15" t="s">
        <v>56</v>
      </c>
      <c r="X23" s="49">
        <v>6.06</v>
      </c>
      <c r="Y23" s="15" t="s">
        <v>56</v>
      </c>
      <c r="Z23" s="49">
        <v>6.2</v>
      </c>
      <c r="AA23" s="69" t="s">
        <v>56</v>
      </c>
    </row>
    <row r="24" spans="1:27" ht="15.75" customHeight="1">
      <c r="A24" s="21">
        <v>20</v>
      </c>
      <c r="B24" s="21">
        <v>4</v>
      </c>
      <c r="C24" s="21">
        <v>3.9</v>
      </c>
      <c r="D24" s="21">
        <v>4.7</v>
      </c>
      <c r="E24" s="21"/>
      <c r="F24">
        <v>4.5</v>
      </c>
      <c r="H24">
        <v>4.5</v>
      </c>
      <c r="I24" s="21" t="s">
        <v>56</v>
      </c>
      <c r="J24" s="34">
        <v>5.6</v>
      </c>
      <c r="K24" s="15" t="s">
        <v>56</v>
      </c>
      <c r="L24" s="35">
        <v>5.5</v>
      </c>
      <c r="M24" s="15" t="s">
        <v>56</v>
      </c>
      <c r="N24" s="35">
        <v>4.5</v>
      </c>
      <c r="O24" s="15" t="s">
        <v>56</v>
      </c>
      <c r="P24" s="35">
        <v>5.2</v>
      </c>
      <c r="R24" s="35">
        <v>5</v>
      </c>
      <c r="S24" s="15" t="s">
        <v>56</v>
      </c>
      <c r="T24" s="49">
        <v>7.74</v>
      </c>
      <c r="U24" s="15" t="s">
        <v>56</v>
      </c>
      <c r="V24" s="34">
        <v>6.66</v>
      </c>
      <c r="W24" s="15" t="s">
        <v>56</v>
      </c>
      <c r="X24" s="49">
        <v>6.46</v>
      </c>
      <c r="Y24" s="15" t="s">
        <v>56</v>
      </c>
      <c r="Z24" s="49">
        <v>5.9</v>
      </c>
      <c r="AA24" s="69" t="s">
        <v>56</v>
      </c>
    </row>
    <row r="25" spans="1:27" ht="15.75" customHeight="1">
      <c r="A25" s="21">
        <v>21</v>
      </c>
      <c r="B25" s="21">
        <v>4.3</v>
      </c>
      <c r="C25" s="21">
        <v>4.5</v>
      </c>
      <c r="D25" s="21">
        <v>4.7</v>
      </c>
      <c r="E25" s="21"/>
      <c r="F25">
        <v>4.8</v>
      </c>
      <c r="H25">
        <v>5.3</v>
      </c>
      <c r="I25" s="21" t="s">
        <v>56</v>
      </c>
      <c r="J25" s="34">
        <v>5.4</v>
      </c>
      <c r="K25" s="15" t="s">
        <v>56</v>
      </c>
      <c r="L25" s="35">
        <v>5.4</v>
      </c>
      <c r="M25" s="15" t="s">
        <v>56</v>
      </c>
      <c r="N25" s="35">
        <v>4.7</v>
      </c>
      <c r="O25" s="15" t="s">
        <v>56</v>
      </c>
      <c r="P25" s="54">
        <v>10.6</v>
      </c>
      <c r="Q25" s="15" t="s">
        <v>58</v>
      </c>
      <c r="R25" s="35">
        <v>5</v>
      </c>
      <c r="S25" s="15" t="s">
        <v>56</v>
      </c>
      <c r="T25" s="49">
        <v>7.67</v>
      </c>
      <c r="U25" s="15" t="s">
        <v>56</v>
      </c>
      <c r="V25" s="34">
        <v>5.75</v>
      </c>
      <c r="W25" s="15" t="s">
        <v>56</v>
      </c>
      <c r="X25" s="49">
        <v>5.67</v>
      </c>
      <c r="Y25" s="15" t="s">
        <v>56</v>
      </c>
      <c r="Z25" s="49">
        <v>6.5</v>
      </c>
      <c r="AA25" s="69" t="s">
        <v>56</v>
      </c>
    </row>
    <row r="26" spans="1:27" ht="15.75" customHeight="1">
      <c r="A26" s="21">
        <v>22</v>
      </c>
      <c r="B26" s="21">
        <v>4.5999999999999996</v>
      </c>
      <c r="C26" s="21">
        <v>3.8</v>
      </c>
      <c r="D26" s="21">
        <v>4.7</v>
      </c>
      <c r="E26" s="21"/>
      <c r="F26">
        <v>4.3</v>
      </c>
      <c r="H26">
        <v>4.7</v>
      </c>
      <c r="I26" s="21" t="s">
        <v>56</v>
      </c>
      <c r="J26" s="34">
        <v>5</v>
      </c>
      <c r="K26" s="15" t="s">
        <v>56</v>
      </c>
      <c r="L26" s="35">
        <v>5.3</v>
      </c>
      <c r="M26" s="15" t="s">
        <v>56</v>
      </c>
      <c r="N26" s="35">
        <v>4.8</v>
      </c>
      <c r="O26" s="15" t="s">
        <v>56</v>
      </c>
      <c r="P26" s="35">
        <v>6.2</v>
      </c>
      <c r="R26" s="35">
        <v>5</v>
      </c>
      <c r="S26" s="15" t="s">
        <v>56</v>
      </c>
      <c r="T26" s="49">
        <v>8.98</v>
      </c>
      <c r="U26" s="15" t="s">
        <v>56</v>
      </c>
      <c r="V26" s="53">
        <v>14.47</v>
      </c>
      <c r="W26" s="15" t="s">
        <v>60</v>
      </c>
      <c r="X26" s="58">
        <v>12.05</v>
      </c>
      <c r="Y26" s="15" t="s">
        <v>60</v>
      </c>
      <c r="Z26" s="49">
        <v>6.7</v>
      </c>
      <c r="AA26" s="69" t="s">
        <v>56</v>
      </c>
    </row>
    <row r="27" spans="1:27" ht="15.75" customHeight="1">
      <c r="A27" s="21">
        <v>23</v>
      </c>
      <c r="B27" s="21">
        <v>4.3</v>
      </c>
      <c r="C27" s="21">
        <v>4.9000000000000004</v>
      </c>
      <c r="D27" s="21">
        <v>5.3</v>
      </c>
      <c r="E27" s="21"/>
      <c r="F27">
        <v>4.4000000000000004</v>
      </c>
      <c r="H27">
        <v>4.5</v>
      </c>
      <c r="I27" s="21" t="s">
        <v>56</v>
      </c>
      <c r="J27" s="34">
        <v>4.9000000000000004</v>
      </c>
      <c r="K27" s="15" t="s">
        <v>56</v>
      </c>
      <c r="L27" s="35">
        <v>5.2</v>
      </c>
      <c r="M27" s="15" t="s">
        <v>56</v>
      </c>
      <c r="N27" s="35">
        <v>5.3</v>
      </c>
      <c r="O27" s="15" t="s">
        <v>56</v>
      </c>
      <c r="P27" s="35">
        <v>5.4</v>
      </c>
      <c r="R27" s="35">
        <v>4.7</v>
      </c>
      <c r="S27" s="15" t="s">
        <v>56</v>
      </c>
      <c r="T27" s="49">
        <v>7.46</v>
      </c>
      <c r="U27" s="15" t="s">
        <v>56</v>
      </c>
      <c r="V27" s="34">
        <v>5.65</v>
      </c>
      <c r="W27" s="15" t="s">
        <v>56</v>
      </c>
      <c r="X27" s="49">
        <v>5.53</v>
      </c>
      <c r="Y27" s="15" t="s">
        <v>56</v>
      </c>
      <c r="Z27" s="49">
        <v>8.6</v>
      </c>
      <c r="AA27" s="69" t="s">
        <v>56</v>
      </c>
    </row>
    <row r="28" spans="1:27" ht="15.75" customHeight="1">
      <c r="A28" s="21">
        <v>24</v>
      </c>
      <c r="B28" s="21">
        <v>4.3</v>
      </c>
      <c r="C28" s="21">
        <v>4.5999999999999996</v>
      </c>
      <c r="D28" s="21">
        <v>4.5</v>
      </c>
      <c r="E28" s="21"/>
      <c r="F28">
        <v>4.5999999999999996</v>
      </c>
      <c r="H28">
        <v>4.0999999999999996</v>
      </c>
      <c r="I28" s="21" t="s">
        <v>56</v>
      </c>
      <c r="J28" s="34">
        <v>4.4000000000000004</v>
      </c>
      <c r="K28" s="15" t="s">
        <v>56</v>
      </c>
      <c r="L28" s="35">
        <v>5.2</v>
      </c>
      <c r="M28" s="15" t="s">
        <v>56</v>
      </c>
      <c r="N28" s="35">
        <v>5.3</v>
      </c>
      <c r="O28" s="15" t="s">
        <v>56</v>
      </c>
      <c r="P28" s="35">
        <v>5.6</v>
      </c>
      <c r="R28" s="35">
        <v>4.9000000000000004</v>
      </c>
      <c r="S28" s="15" t="s">
        <v>56</v>
      </c>
      <c r="T28" s="56">
        <v>10.37</v>
      </c>
      <c r="U28" s="15" t="s">
        <v>58</v>
      </c>
      <c r="V28" s="34">
        <v>6.41</v>
      </c>
      <c r="W28" s="15" t="s">
        <v>56</v>
      </c>
      <c r="X28" s="49">
        <v>5.97</v>
      </c>
      <c r="Y28" s="15" t="s">
        <v>56</v>
      </c>
      <c r="Z28" s="49">
        <v>6.8</v>
      </c>
      <c r="AA28" s="69" t="s">
        <v>56</v>
      </c>
    </row>
    <row r="29" spans="1:27" ht="15.75" customHeight="1">
      <c r="A29" s="21">
        <v>25</v>
      </c>
      <c r="B29" s="21">
        <v>4.2</v>
      </c>
      <c r="C29" s="21">
        <v>4.3</v>
      </c>
      <c r="D29" s="21">
        <v>4.7</v>
      </c>
      <c r="E29" s="21"/>
      <c r="F29">
        <v>4.3</v>
      </c>
      <c r="H29">
        <v>4.2</v>
      </c>
      <c r="I29" s="21" t="s">
        <v>56</v>
      </c>
      <c r="J29" s="34">
        <v>4.3</v>
      </c>
      <c r="K29" s="15" t="s">
        <v>56</v>
      </c>
      <c r="L29" s="35">
        <v>5.3</v>
      </c>
      <c r="M29" s="15" t="s">
        <v>56</v>
      </c>
      <c r="N29" s="35">
        <v>4.7</v>
      </c>
      <c r="O29" s="15" t="s">
        <v>56</v>
      </c>
      <c r="P29" s="35">
        <v>6.2</v>
      </c>
      <c r="R29" s="35">
        <v>4.5999999999999996</v>
      </c>
      <c r="S29" s="15" t="s">
        <v>56</v>
      </c>
      <c r="T29" s="49">
        <v>8.59</v>
      </c>
      <c r="U29" s="15" t="s">
        <v>56</v>
      </c>
      <c r="V29" s="34">
        <v>5.96</v>
      </c>
      <c r="W29" s="15" t="s">
        <v>56</v>
      </c>
      <c r="X29" s="49">
        <v>5.83</v>
      </c>
      <c r="Y29" s="15" t="s">
        <v>56</v>
      </c>
      <c r="Z29" s="49">
        <v>6.8</v>
      </c>
      <c r="AA29" s="69" t="s">
        <v>56</v>
      </c>
    </row>
    <row r="30" spans="1:27" ht="15.75" customHeight="1">
      <c r="A30" s="21">
        <v>26</v>
      </c>
      <c r="B30" s="21">
        <v>4.3</v>
      </c>
      <c r="C30" s="21">
        <v>4.3</v>
      </c>
      <c r="D30" s="21">
        <v>4.5999999999999996</v>
      </c>
      <c r="E30" s="21"/>
      <c r="F30">
        <v>4.5</v>
      </c>
      <c r="H30">
        <v>4.2</v>
      </c>
      <c r="I30" s="21" t="s">
        <v>56</v>
      </c>
      <c r="J30" s="34">
        <v>4.4000000000000004</v>
      </c>
      <c r="K30" s="15" t="s">
        <v>56</v>
      </c>
      <c r="L30" s="35">
        <v>5.3</v>
      </c>
      <c r="M30" s="15" t="s">
        <v>56</v>
      </c>
      <c r="N30" s="35">
        <v>4.5</v>
      </c>
      <c r="O30" s="15" t="s">
        <v>56</v>
      </c>
      <c r="P30" s="35">
        <v>5.9</v>
      </c>
      <c r="R30" s="35">
        <v>4.8</v>
      </c>
      <c r="S30" s="15" t="s">
        <v>56</v>
      </c>
      <c r="T30" s="49">
        <v>7.14</v>
      </c>
      <c r="U30" s="15" t="s">
        <v>56</v>
      </c>
      <c r="V30" s="34">
        <v>6.81</v>
      </c>
      <c r="W30" s="15" t="s">
        <v>56</v>
      </c>
      <c r="X30" s="49">
        <v>5.77</v>
      </c>
      <c r="Y30" s="15" t="s">
        <v>56</v>
      </c>
      <c r="Z30" s="49">
        <v>6.8</v>
      </c>
      <c r="AA30" s="69" t="s">
        <v>56</v>
      </c>
    </row>
    <row r="31" spans="1:27" ht="15.75" customHeight="1">
      <c r="A31" s="21">
        <v>27</v>
      </c>
      <c r="B31" s="21">
        <v>4.2</v>
      </c>
      <c r="C31" s="21">
        <v>4.0999999999999996</v>
      </c>
      <c r="D31" s="21">
        <v>4.2</v>
      </c>
      <c r="E31" s="21"/>
      <c r="F31">
        <v>4.4000000000000004</v>
      </c>
      <c r="H31">
        <v>4.2</v>
      </c>
      <c r="I31" s="21" t="s">
        <v>56</v>
      </c>
      <c r="J31" s="34">
        <v>4.4000000000000004</v>
      </c>
      <c r="K31" s="15" t="s">
        <v>56</v>
      </c>
      <c r="L31" s="35">
        <v>5.0999999999999996</v>
      </c>
      <c r="M31" s="15" t="s">
        <v>56</v>
      </c>
      <c r="N31" s="35">
        <v>4.7</v>
      </c>
      <c r="O31" s="15" t="s">
        <v>56</v>
      </c>
      <c r="P31" s="35">
        <v>5.8</v>
      </c>
      <c r="R31" s="35">
        <v>4.7</v>
      </c>
      <c r="S31" s="15" t="s">
        <v>56</v>
      </c>
      <c r="T31" s="49">
        <v>8.6300000000000008</v>
      </c>
      <c r="U31" s="15" t="s">
        <v>56</v>
      </c>
      <c r="V31" s="34">
        <v>6.19</v>
      </c>
      <c r="W31" s="15" t="s">
        <v>56</v>
      </c>
      <c r="X31" s="49">
        <v>5.8</v>
      </c>
      <c r="Y31" s="15" t="s">
        <v>56</v>
      </c>
      <c r="Z31" s="49">
        <v>7.1</v>
      </c>
      <c r="AA31" s="69" t="s">
        <v>56</v>
      </c>
    </row>
    <row r="32" spans="1:27" ht="15.75" customHeight="1">
      <c r="A32" s="21">
        <v>28</v>
      </c>
      <c r="B32" s="21">
        <v>4.0999999999999996</v>
      </c>
      <c r="C32" s="21">
        <v>3.8</v>
      </c>
      <c r="D32" s="21">
        <v>4.8</v>
      </c>
      <c r="E32" s="21"/>
      <c r="F32">
        <v>4.5999999999999996</v>
      </c>
      <c r="H32">
        <v>4.4000000000000004</v>
      </c>
      <c r="I32" s="21" t="s">
        <v>56</v>
      </c>
      <c r="J32" s="34">
        <v>4.8</v>
      </c>
      <c r="K32" s="15" t="s">
        <v>56</v>
      </c>
      <c r="L32" s="35">
        <v>5</v>
      </c>
      <c r="M32" s="15" t="s">
        <v>56</v>
      </c>
      <c r="N32" s="35">
        <v>4.5</v>
      </c>
      <c r="O32" s="15" t="s">
        <v>56</v>
      </c>
      <c r="P32" s="35">
        <v>6.6</v>
      </c>
      <c r="R32" s="35">
        <v>4.8</v>
      </c>
      <c r="S32" s="15" t="s">
        <v>56</v>
      </c>
      <c r="T32" s="58">
        <v>12.38</v>
      </c>
      <c r="U32" s="15" t="s">
        <v>60</v>
      </c>
      <c r="V32" s="34">
        <v>6.31</v>
      </c>
      <c r="W32" s="15" t="s">
        <v>56</v>
      </c>
      <c r="X32" s="49">
        <v>6.27</v>
      </c>
      <c r="Y32" s="15" t="s">
        <v>56</v>
      </c>
      <c r="Z32" s="49">
        <v>6</v>
      </c>
      <c r="AA32" s="69" t="s">
        <v>56</v>
      </c>
    </row>
    <row r="33" spans="1:27" ht="15.75" customHeight="1">
      <c r="A33" s="21">
        <v>29</v>
      </c>
      <c r="B33" s="21">
        <v>4.4000000000000004</v>
      </c>
      <c r="C33" s="21">
        <v>4.0999999999999996</v>
      </c>
      <c r="D33" s="21">
        <v>5</v>
      </c>
      <c r="E33" s="21"/>
      <c r="F33">
        <v>4.5</v>
      </c>
      <c r="H33">
        <v>5.7</v>
      </c>
      <c r="I33" s="21" t="s">
        <v>56</v>
      </c>
      <c r="J33" s="34">
        <v>4.8</v>
      </c>
      <c r="K33" s="15" t="s">
        <v>56</v>
      </c>
      <c r="L33" s="35">
        <v>5.0999999999999996</v>
      </c>
      <c r="M33" s="15" t="s">
        <v>56</v>
      </c>
      <c r="N33" s="35">
        <v>4.8</v>
      </c>
      <c r="O33" s="15" t="s">
        <v>56</v>
      </c>
      <c r="P33" s="35">
        <v>7</v>
      </c>
      <c r="R33" s="35">
        <v>4.5999999999999996</v>
      </c>
      <c r="S33" s="15" t="s">
        <v>56</v>
      </c>
      <c r="T33" s="49">
        <v>8.33</v>
      </c>
      <c r="U33" s="15" t="s">
        <v>56</v>
      </c>
      <c r="V33" s="34">
        <v>5.66</v>
      </c>
      <c r="W33" s="15" t="s">
        <v>56</v>
      </c>
      <c r="X33" s="49">
        <v>5.23</v>
      </c>
      <c r="Y33" s="15" t="s">
        <v>56</v>
      </c>
      <c r="Z33" s="49">
        <v>5.5</v>
      </c>
      <c r="AA33" s="69" t="s">
        <v>56</v>
      </c>
    </row>
    <row r="34" spans="1:27" ht="15.75" customHeight="1">
      <c r="A34" s="21">
        <v>30</v>
      </c>
      <c r="B34" s="21">
        <v>4.0999999999999996</v>
      </c>
      <c r="C34" s="21">
        <v>4.3</v>
      </c>
      <c r="D34" s="21">
        <v>4.5999999999999996</v>
      </c>
      <c r="E34" s="21"/>
      <c r="F34">
        <v>4.4000000000000004</v>
      </c>
      <c r="H34">
        <v>4.5</v>
      </c>
      <c r="I34" s="21" t="s">
        <v>56</v>
      </c>
      <c r="J34" s="34">
        <v>5.0999999999999996</v>
      </c>
      <c r="K34" s="15" t="s">
        <v>56</v>
      </c>
      <c r="L34" s="35">
        <v>5.2</v>
      </c>
      <c r="M34" s="15" t="s">
        <v>56</v>
      </c>
      <c r="N34" s="35">
        <v>5.3</v>
      </c>
      <c r="O34" s="15" t="s">
        <v>56</v>
      </c>
      <c r="P34" s="35">
        <v>5.7</v>
      </c>
      <c r="R34" s="35">
        <v>5</v>
      </c>
      <c r="S34" s="15" t="s">
        <v>56</v>
      </c>
      <c r="T34" s="49">
        <v>7.33</v>
      </c>
      <c r="U34" s="15" t="s">
        <v>56</v>
      </c>
      <c r="V34" s="34">
        <v>6.17</v>
      </c>
      <c r="W34" s="15" t="s">
        <v>56</v>
      </c>
      <c r="X34" s="49">
        <v>6.17</v>
      </c>
      <c r="Y34" s="15" t="s">
        <v>56</v>
      </c>
      <c r="Z34" s="49">
        <v>5.6</v>
      </c>
      <c r="AA34" s="69" t="s">
        <v>56</v>
      </c>
    </row>
    <row r="35" spans="1:27" ht="15.75" customHeight="1">
      <c r="A35" s="21">
        <v>31</v>
      </c>
      <c r="B35" s="21">
        <v>4.2</v>
      </c>
      <c r="C35" s="21">
        <v>3.9</v>
      </c>
      <c r="D35" s="21">
        <v>5</v>
      </c>
      <c r="E35" s="21"/>
      <c r="F35">
        <v>4.5</v>
      </c>
      <c r="H35">
        <v>4.2</v>
      </c>
      <c r="I35" s="21" t="s">
        <v>56</v>
      </c>
      <c r="J35" s="34">
        <v>5</v>
      </c>
      <c r="K35" s="15" t="s">
        <v>56</v>
      </c>
      <c r="L35" s="35">
        <v>5.3</v>
      </c>
      <c r="M35" s="15" t="s">
        <v>56</v>
      </c>
      <c r="N35" s="35">
        <v>4.8</v>
      </c>
      <c r="O35" s="15" t="s">
        <v>56</v>
      </c>
      <c r="P35" s="35">
        <v>5.6</v>
      </c>
      <c r="R35" s="35">
        <v>4.5</v>
      </c>
      <c r="S35" s="15" t="s">
        <v>56</v>
      </c>
      <c r="T35" s="49">
        <v>7.11</v>
      </c>
      <c r="U35" s="15" t="s">
        <v>56</v>
      </c>
      <c r="V35" s="34">
        <v>5.65</v>
      </c>
      <c r="W35" s="15" t="s">
        <v>56</v>
      </c>
      <c r="X35" s="49">
        <v>5.52</v>
      </c>
      <c r="Y35" s="15" t="s">
        <v>56</v>
      </c>
      <c r="Z35" s="49">
        <v>6.3</v>
      </c>
      <c r="AA35" s="69" t="s">
        <v>56</v>
      </c>
    </row>
    <row r="36" spans="1:27" ht="15.75" customHeight="1">
      <c r="A36" s="21">
        <v>32</v>
      </c>
      <c r="B36" s="21">
        <v>4.4000000000000004</v>
      </c>
      <c r="C36" s="21">
        <v>4.7</v>
      </c>
      <c r="D36" s="21">
        <v>4.3</v>
      </c>
      <c r="E36" s="21"/>
      <c r="F36">
        <v>4.2</v>
      </c>
      <c r="H36">
        <v>4.5999999999999996</v>
      </c>
      <c r="I36" s="21" t="s">
        <v>56</v>
      </c>
      <c r="J36" s="34">
        <v>5</v>
      </c>
      <c r="K36" s="15" t="s">
        <v>56</v>
      </c>
      <c r="L36" s="35">
        <v>5.0999999999999996</v>
      </c>
      <c r="M36" s="15" t="s">
        <v>56</v>
      </c>
      <c r="N36" s="35">
        <v>4.5</v>
      </c>
      <c r="O36" s="15" t="s">
        <v>56</v>
      </c>
      <c r="P36" s="35">
        <v>5.0999999999999996</v>
      </c>
      <c r="R36" s="35">
        <v>5.0999999999999996</v>
      </c>
      <c r="S36" s="15" t="s">
        <v>56</v>
      </c>
      <c r="T36" s="49">
        <v>7.36</v>
      </c>
      <c r="U36" s="15" t="s">
        <v>56</v>
      </c>
      <c r="V36" s="34">
        <v>5.8</v>
      </c>
      <c r="W36" s="15" t="s">
        <v>56</v>
      </c>
      <c r="X36" s="49">
        <v>5.89</v>
      </c>
      <c r="Y36" s="15" t="s">
        <v>56</v>
      </c>
      <c r="Z36" s="49">
        <v>5.7</v>
      </c>
      <c r="AA36" s="69" t="s">
        <v>56</v>
      </c>
    </row>
    <row r="37" spans="1:27" ht="15.75" customHeight="1">
      <c r="A37" s="21">
        <v>33</v>
      </c>
      <c r="B37" s="21">
        <v>4.4000000000000004</v>
      </c>
      <c r="C37" s="21">
        <v>4</v>
      </c>
      <c r="D37" s="21">
        <v>4.5999999999999996</v>
      </c>
      <c r="E37" s="21"/>
      <c r="F37">
        <v>5.0999999999999996</v>
      </c>
      <c r="H37">
        <v>4.5999999999999996</v>
      </c>
      <c r="I37" s="21" t="s">
        <v>56</v>
      </c>
      <c r="J37" s="34">
        <v>5.2</v>
      </c>
      <c r="K37" s="15" t="s">
        <v>56</v>
      </c>
      <c r="L37" s="35">
        <v>4.9000000000000004</v>
      </c>
      <c r="M37" s="15" t="s">
        <v>56</v>
      </c>
      <c r="N37" s="35">
        <v>5.0999999999999996</v>
      </c>
      <c r="O37" s="15" t="s">
        <v>56</v>
      </c>
      <c r="P37" s="35">
        <v>6</v>
      </c>
      <c r="R37" s="35">
        <v>4.4000000000000004</v>
      </c>
      <c r="S37" s="15" t="s">
        <v>56</v>
      </c>
      <c r="T37" s="58">
        <v>9999</v>
      </c>
      <c r="U37" s="15" t="s">
        <v>60</v>
      </c>
      <c r="V37" s="34">
        <v>5.34</v>
      </c>
      <c r="W37" s="15" t="s">
        <v>56</v>
      </c>
      <c r="X37" s="49">
        <v>5.28</v>
      </c>
      <c r="Y37" s="15" t="s">
        <v>56</v>
      </c>
      <c r="Z37" s="49">
        <v>7.3</v>
      </c>
      <c r="AA37" s="69" t="s">
        <v>56</v>
      </c>
    </row>
    <row r="38" spans="1:27" ht="15.75" customHeight="1">
      <c r="A38" s="21">
        <v>34</v>
      </c>
      <c r="B38" s="21">
        <v>4.2</v>
      </c>
      <c r="C38" s="21">
        <v>4.5999999999999996</v>
      </c>
      <c r="D38" s="21">
        <v>5.3</v>
      </c>
      <c r="E38" s="21"/>
      <c r="F38">
        <v>5.2</v>
      </c>
      <c r="H38">
        <v>4.0999999999999996</v>
      </c>
      <c r="I38" s="21" t="s">
        <v>56</v>
      </c>
      <c r="J38" s="34">
        <v>4.4000000000000004</v>
      </c>
      <c r="K38" s="15" t="s">
        <v>56</v>
      </c>
      <c r="L38" s="35">
        <v>5.2</v>
      </c>
      <c r="M38" s="15" t="s">
        <v>56</v>
      </c>
      <c r="N38" s="35">
        <v>4.8</v>
      </c>
      <c r="O38" s="15" t="s">
        <v>56</v>
      </c>
      <c r="P38" s="35">
        <v>5.8</v>
      </c>
      <c r="R38" s="35">
        <v>4.8</v>
      </c>
      <c r="S38" s="15" t="s">
        <v>56</v>
      </c>
      <c r="T38" s="49">
        <v>7.73</v>
      </c>
      <c r="U38" s="15" t="s">
        <v>56</v>
      </c>
      <c r="V38" s="34">
        <v>6.87</v>
      </c>
      <c r="W38" s="15" t="s">
        <v>56</v>
      </c>
      <c r="X38" s="49">
        <v>6.29</v>
      </c>
      <c r="Y38" s="15" t="s">
        <v>56</v>
      </c>
      <c r="Z38" s="49">
        <v>7.2</v>
      </c>
      <c r="AA38" s="69" t="s">
        <v>56</v>
      </c>
    </row>
    <row r="39" spans="1:27" ht="15.75" customHeight="1">
      <c r="A39" s="21">
        <v>35</v>
      </c>
      <c r="B39" s="21">
        <v>4.3</v>
      </c>
      <c r="C39" s="21">
        <v>4.7</v>
      </c>
      <c r="D39" s="21">
        <v>4.3</v>
      </c>
      <c r="E39" s="21"/>
      <c r="F39">
        <v>4.2</v>
      </c>
      <c r="H39">
        <v>4.0999999999999996</v>
      </c>
      <c r="I39" s="21" t="s">
        <v>56</v>
      </c>
      <c r="J39" s="34">
        <v>4.4000000000000004</v>
      </c>
      <c r="K39" s="15" t="s">
        <v>56</v>
      </c>
      <c r="L39" s="35">
        <v>5.2</v>
      </c>
      <c r="M39" s="15" t="s">
        <v>56</v>
      </c>
      <c r="N39" s="35">
        <v>4.5999999999999996</v>
      </c>
      <c r="O39" s="15" t="s">
        <v>56</v>
      </c>
      <c r="P39" s="35">
        <v>5.9</v>
      </c>
      <c r="R39" s="35">
        <v>4.8</v>
      </c>
      <c r="S39" s="15" t="s">
        <v>56</v>
      </c>
      <c r="T39" s="49">
        <v>6.46</v>
      </c>
      <c r="U39" s="15" t="s">
        <v>56</v>
      </c>
      <c r="V39" s="34">
        <v>6.4</v>
      </c>
      <c r="W39" s="15" t="s">
        <v>56</v>
      </c>
      <c r="X39" s="49">
        <v>5.9</v>
      </c>
      <c r="Y39" s="15" t="s">
        <v>56</v>
      </c>
      <c r="Z39" s="49">
        <v>6.3</v>
      </c>
      <c r="AA39" s="69" t="s">
        <v>56</v>
      </c>
    </row>
    <row r="40" spans="1:27" ht="15.75" customHeight="1">
      <c r="A40" s="21">
        <v>36</v>
      </c>
      <c r="B40" s="21">
        <v>4.2</v>
      </c>
      <c r="C40" s="21">
        <v>4.2</v>
      </c>
      <c r="D40" s="21">
        <v>4.7</v>
      </c>
      <c r="E40" s="21"/>
      <c r="F40">
        <v>4.0999999999999996</v>
      </c>
      <c r="H40">
        <v>4.0999999999999996</v>
      </c>
      <c r="I40" s="21" t="s">
        <v>56</v>
      </c>
      <c r="J40" s="34">
        <v>4.4000000000000004</v>
      </c>
      <c r="K40" s="15" t="s">
        <v>56</v>
      </c>
      <c r="L40" s="35">
        <v>5.0999999999999996</v>
      </c>
      <c r="M40" s="15" t="s">
        <v>56</v>
      </c>
      <c r="N40" s="35">
        <v>4.7</v>
      </c>
      <c r="O40" s="15" t="s">
        <v>56</v>
      </c>
      <c r="P40" s="35">
        <v>5.5</v>
      </c>
      <c r="R40" s="35">
        <v>4.8</v>
      </c>
      <c r="S40" s="15" t="s">
        <v>56</v>
      </c>
      <c r="T40" s="49">
        <v>7.04</v>
      </c>
      <c r="U40" s="15" t="s">
        <v>56</v>
      </c>
      <c r="V40" s="34">
        <v>6.48</v>
      </c>
      <c r="W40" s="15" t="s">
        <v>56</v>
      </c>
      <c r="X40" s="49">
        <v>6</v>
      </c>
      <c r="Y40" s="15" t="s">
        <v>56</v>
      </c>
      <c r="Z40" s="49">
        <v>6.5</v>
      </c>
      <c r="AA40" s="69" t="s">
        <v>56</v>
      </c>
    </row>
    <row r="41" spans="1:27" ht="15.75" customHeight="1">
      <c r="A41" s="21">
        <v>37</v>
      </c>
      <c r="B41" s="21">
        <v>4.5</v>
      </c>
      <c r="C41" s="21">
        <v>4.4000000000000004</v>
      </c>
      <c r="D41" s="21">
        <v>4.4000000000000004</v>
      </c>
      <c r="E41" s="21"/>
      <c r="F41">
        <v>4.5999999999999996</v>
      </c>
      <c r="H41">
        <v>4.2</v>
      </c>
      <c r="I41" s="21" t="s">
        <v>56</v>
      </c>
      <c r="J41" s="34">
        <v>4.4000000000000004</v>
      </c>
      <c r="K41" s="15" t="s">
        <v>56</v>
      </c>
      <c r="L41" s="35">
        <v>5.0999999999999996</v>
      </c>
      <c r="M41" s="15" t="s">
        <v>56</v>
      </c>
      <c r="N41" s="35">
        <v>4.5999999999999996</v>
      </c>
      <c r="O41" s="15" t="s">
        <v>56</v>
      </c>
      <c r="P41" s="35">
        <v>6.8</v>
      </c>
      <c r="R41" s="35">
        <v>4.7</v>
      </c>
      <c r="S41" s="15" t="s">
        <v>56</v>
      </c>
      <c r="T41" s="49">
        <v>6.79</v>
      </c>
      <c r="U41" s="15" t="s">
        <v>56</v>
      </c>
      <c r="V41" s="34">
        <v>6.73</v>
      </c>
      <c r="W41" s="15" t="s">
        <v>56</v>
      </c>
      <c r="X41" s="49">
        <v>6.16</v>
      </c>
      <c r="Y41" s="15" t="s">
        <v>56</v>
      </c>
      <c r="Z41" s="49">
        <v>6.6</v>
      </c>
      <c r="AA41" s="69" t="s">
        <v>56</v>
      </c>
    </row>
    <row r="42" spans="1:27" ht="15.75" customHeight="1">
      <c r="A42" s="21">
        <v>38</v>
      </c>
      <c r="B42" s="21">
        <v>4.4000000000000004</v>
      </c>
      <c r="C42" s="21">
        <v>4.5</v>
      </c>
      <c r="D42" s="21">
        <v>4.8</v>
      </c>
      <c r="E42" s="21"/>
      <c r="F42">
        <v>4.5999999999999996</v>
      </c>
      <c r="H42">
        <v>4.0999999999999996</v>
      </c>
      <c r="I42" s="21" t="s">
        <v>56</v>
      </c>
      <c r="J42" s="34">
        <v>4.0999999999999996</v>
      </c>
      <c r="K42" s="15" t="s">
        <v>56</v>
      </c>
      <c r="L42" s="35">
        <v>5.0999999999999996</v>
      </c>
      <c r="M42" s="15" t="s">
        <v>56</v>
      </c>
      <c r="N42" s="35">
        <v>4.5999999999999996</v>
      </c>
      <c r="O42" s="15" t="s">
        <v>56</v>
      </c>
      <c r="P42" s="35">
        <v>6.2</v>
      </c>
      <c r="R42" s="35">
        <v>4.5999999999999996</v>
      </c>
      <c r="S42" s="15" t="s">
        <v>56</v>
      </c>
      <c r="T42" s="49">
        <v>6.38</v>
      </c>
      <c r="U42" s="15" t="s">
        <v>56</v>
      </c>
      <c r="V42" s="34">
        <v>7.92</v>
      </c>
      <c r="W42" s="15" t="s">
        <v>56</v>
      </c>
      <c r="X42" s="49">
        <v>7.92</v>
      </c>
      <c r="Y42" s="15" t="s">
        <v>56</v>
      </c>
      <c r="Z42" s="49">
        <v>6.2</v>
      </c>
      <c r="AA42" s="69" t="s">
        <v>56</v>
      </c>
    </row>
    <row r="43" spans="1:27" ht="15.75" customHeight="1">
      <c r="A43" s="21">
        <v>39</v>
      </c>
      <c r="B43" s="21">
        <v>4.2</v>
      </c>
      <c r="C43" s="21">
        <v>3.6</v>
      </c>
      <c r="D43" s="21">
        <v>3.9</v>
      </c>
      <c r="E43" s="21"/>
      <c r="F43">
        <v>4.0999999999999996</v>
      </c>
      <c r="H43">
        <v>4.4000000000000004</v>
      </c>
      <c r="I43" s="21" t="s">
        <v>56</v>
      </c>
      <c r="J43" s="34">
        <v>4.7</v>
      </c>
      <c r="K43" s="15" t="s">
        <v>56</v>
      </c>
      <c r="L43" s="35">
        <v>5.2</v>
      </c>
      <c r="M43" s="15" t="s">
        <v>56</v>
      </c>
      <c r="N43" s="35">
        <v>5.2</v>
      </c>
      <c r="O43" s="15" t="s">
        <v>56</v>
      </c>
      <c r="P43" s="35">
        <v>5.6</v>
      </c>
      <c r="R43" s="35">
        <v>5.0999999999999996</v>
      </c>
      <c r="S43" s="15" t="s">
        <v>56</v>
      </c>
      <c r="T43" s="49">
        <v>7.11</v>
      </c>
      <c r="U43" s="15" t="s">
        <v>56</v>
      </c>
      <c r="V43" s="34">
        <v>6.04</v>
      </c>
      <c r="W43" s="15" t="s">
        <v>56</v>
      </c>
      <c r="X43" s="49">
        <v>6.29</v>
      </c>
      <c r="Y43" s="15" t="s">
        <v>56</v>
      </c>
      <c r="Z43" s="58">
        <v>14.1</v>
      </c>
      <c r="AA43" s="69" t="s">
        <v>60</v>
      </c>
    </row>
    <row r="44" spans="1:27" ht="15.75" customHeight="1">
      <c r="A44" s="21">
        <v>40</v>
      </c>
      <c r="B44" s="21">
        <v>4.8</v>
      </c>
      <c r="C44" s="21">
        <v>4.5999999999999996</v>
      </c>
      <c r="D44" s="21">
        <v>3.7</v>
      </c>
      <c r="E44" s="21"/>
      <c r="F44">
        <v>5.6</v>
      </c>
      <c r="H44">
        <v>4.0999999999999996</v>
      </c>
      <c r="I44" s="21" t="s">
        <v>56</v>
      </c>
      <c r="J44" s="34">
        <v>5.0999999999999996</v>
      </c>
      <c r="K44" s="15" t="s">
        <v>56</v>
      </c>
      <c r="L44" s="35">
        <v>5.0999999999999996</v>
      </c>
      <c r="M44" s="15" t="s">
        <v>56</v>
      </c>
      <c r="N44" s="35">
        <v>5.0999999999999996</v>
      </c>
      <c r="O44" s="15" t="s">
        <v>56</v>
      </c>
      <c r="P44" s="35">
        <v>5.4</v>
      </c>
      <c r="R44" s="35">
        <v>4.5999999999999996</v>
      </c>
      <c r="S44" s="15" t="s">
        <v>56</v>
      </c>
      <c r="T44" s="56">
        <v>10.23</v>
      </c>
      <c r="U44" s="15" t="s">
        <v>58</v>
      </c>
      <c r="V44" s="34">
        <v>5.59</v>
      </c>
      <c r="W44" s="15" t="s">
        <v>56</v>
      </c>
      <c r="X44" s="49">
        <v>5.52</v>
      </c>
      <c r="Y44" s="15" t="s">
        <v>56</v>
      </c>
      <c r="Z44" s="49">
        <v>6.1</v>
      </c>
      <c r="AA44" s="69" t="s">
        <v>56</v>
      </c>
    </row>
    <row r="45" spans="1:27" ht="15.75" customHeight="1">
      <c r="A45" s="21">
        <v>41</v>
      </c>
      <c r="B45" s="21">
        <v>5</v>
      </c>
      <c r="C45" s="21">
        <v>4.4000000000000004</v>
      </c>
      <c r="D45" s="21">
        <v>3.9</v>
      </c>
      <c r="E45" s="21"/>
      <c r="F45">
        <v>5.6</v>
      </c>
      <c r="H45">
        <v>5.0999999999999996</v>
      </c>
      <c r="I45" s="21" t="s">
        <v>56</v>
      </c>
      <c r="J45" s="34">
        <v>5.0999999999999996</v>
      </c>
      <c r="K45" s="15" t="s">
        <v>56</v>
      </c>
      <c r="L45" s="35">
        <v>5</v>
      </c>
      <c r="M45" s="15" t="s">
        <v>56</v>
      </c>
      <c r="N45" s="35">
        <v>4.4000000000000004</v>
      </c>
      <c r="O45" s="15" t="s">
        <v>56</v>
      </c>
      <c r="P45" s="35">
        <v>5.7</v>
      </c>
      <c r="R45" s="35">
        <v>4.5</v>
      </c>
      <c r="S45" s="15" t="s">
        <v>56</v>
      </c>
      <c r="T45" s="49">
        <v>6.59</v>
      </c>
      <c r="U45" s="15" t="s">
        <v>56</v>
      </c>
      <c r="V45" s="34">
        <v>5.23</v>
      </c>
      <c r="W45" s="15" t="s">
        <v>56</v>
      </c>
      <c r="X45" s="49">
        <v>5.24</v>
      </c>
      <c r="Y45" s="15" t="s">
        <v>56</v>
      </c>
      <c r="Z45" s="49">
        <v>7.9</v>
      </c>
      <c r="AA45" s="69" t="s">
        <v>56</v>
      </c>
    </row>
    <row r="46" spans="1:27" ht="15.75" customHeight="1">
      <c r="A46" s="21">
        <v>42</v>
      </c>
      <c r="B46" s="21">
        <v>4.2</v>
      </c>
      <c r="C46" s="21">
        <v>4.5999999999999996</v>
      </c>
      <c r="D46" s="21">
        <v>3.8</v>
      </c>
      <c r="E46" s="21"/>
      <c r="F46">
        <v>4.5999999999999996</v>
      </c>
      <c r="H46">
        <v>4.7</v>
      </c>
      <c r="I46" s="21" t="s">
        <v>56</v>
      </c>
      <c r="J46" s="34">
        <v>5.2</v>
      </c>
      <c r="K46" s="15" t="s">
        <v>56</v>
      </c>
      <c r="L46" s="35">
        <v>5.6</v>
      </c>
      <c r="M46" s="15" t="s">
        <v>56</v>
      </c>
      <c r="N46" s="35">
        <v>5.2</v>
      </c>
      <c r="O46" s="15" t="s">
        <v>56</v>
      </c>
      <c r="P46" s="35">
        <v>4.9000000000000004</v>
      </c>
      <c r="R46" s="35">
        <v>5.4</v>
      </c>
      <c r="S46" s="15" t="s">
        <v>56</v>
      </c>
      <c r="T46" s="49">
        <v>7.62</v>
      </c>
      <c r="U46" s="15" t="s">
        <v>56</v>
      </c>
      <c r="V46" s="34">
        <v>7.81</v>
      </c>
      <c r="W46" s="15" t="s">
        <v>56</v>
      </c>
      <c r="X46" s="49">
        <v>8.07</v>
      </c>
      <c r="Y46" s="15" t="s">
        <v>56</v>
      </c>
      <c r="Z46" s="49">
        <v>8.3000000000000007</v>
      </c>
      <c r="AA46" s="69" t="s">
        <v>56</v>
      </c>
    </row>
    <row r="47" spans="1:27" ht="15.75" customHeight="1">
      <c r="A47" s="21">
        <v>43</v>
      </c>
      <c r="B47" s="21">
        <v>4.4000000000000004</v>
      </c>
      <c r="C47" s="21">
        <v>4.0999999999999996</v>
      </c>
      <c r="D47" s="21">
        <v>3.9</v>
      </c>
      <c r="E47" s="21"/>
      <c r="F47">
        <v>4.7</v>
      </c>
      <c r="H47">
        <v>4.2</v>
      </c>
      <c r="I47" s="21" t="s">
        <v>56</v>
      </c>
      <c r="J47" s="34">
        <v>4.4000000000000004</v>
      </c>
      <c r="K47" s="15" t="s">
        <v>56</v>
      </c>
      <c r="L47" s="35">
        <v>5.4</v>
      </c>
      <c r="M47" s="15" t="s">
        <v>56</v>
      </c>
      <c r="N47" s="35">
        <v>5.8</v>
      </c>
      <c r="O47" s="15" t="s">
        <v>56</v>
      </c>
      <c r="P47" s="35">
        <v>4.9000000000000004</v>
      </c>
      <c r="R47" s="35">
        <v>5</v>
      </c>
      <c r="S47" s="15" t="s">
        <v>56</v>
      </c>
      <c r="T47" s="49">
        <v>8.99</v>
      </c>
      <c r="U47" s="15" t="s">
        <v>56</v>
      </c>
      <c r="V47" s="34">
        <v>6.74</v>
      </c>
      <c r="W47" s="15" t="s">
        <v>56</v>
      </c>
      <c r="X47" s="49">
        <v>6</v>
      </c>
      <c r="Y47" s="15" t="s">
        <v>56</v>
      </c>
      <c r="Z47" s="49">
        <v>8.1</v>
      </c>
      <c r="AA47" s="69" t="s">
        <v>56</v>
      </c>
    </row>
    <row r="48" spans="1:27" ht="15.75" customHeight="1">
      <c r="A48" s="21">
        <v>44</v>
      </c>
      <c r="B48" s="21">
        <v>4.3</v>
      </c>
      <c r="C48" s="21">
        <v>4.0999999999999996</v>
      </c>
      <c r="D48" s="21">
        <v>3.4</v>
      </c>
      <c r="E48" s="21"/>
      <c r="F48">
        <v>5.0999999999999996</v>
      </c>
      <c r="H48">
        <v>4.0999999999999996</v>
      </c>
      <c r="I48" s="21" t="s">
        <v>56</v>
      </c>
      <c r="J48" s="34">
        <v>4.5999999999999996</v>
      </c>
      <c r="K48" s="15" t="s">
        <v>56</v>
      </c>
      <c r="L48" s="35">
        <v>5.6</v>
      </c>
      <c r="M48" s="15" t="s">
        <v>56</v>
      </c>
      <c r="N48" s="35">
        <v>4.8</v>
      </c>
      <c r="O48" s="15" t="s">
        <v>56</v>
      </c>
      <c r="P48" s="35">
        <v>5</v>
      </c>
      <c r="R48" s="35">
        <v>5.2</v>
      </c>
      <c r="S48" s="15" t="s">
        <v>56</v>
      </c>
      <c r="T48" s="49">
        <v>6.27</v>
      </c>
      <c r="U48" s="15" t="s">
        <v>56</v>
      </c>
      <c r="V48" s="34">
        <v>7.39</v>
      </c>
      <c r="W48" s="15" t="s">
        <v>56</v>
      </c>
      <c r="X48" s="49">
        <v>7.07</v>
      </c>
      <c r="Y48" s="15" t="s">
        <v>56</v>
      </c>
      <c r="Z48" s="49">
        <v>7.6</v>
      </c>
      <c r="AA48" s="69" t="s">
        <v>56</v>
      </c>
    </row>
    <row r="49" spans="1:27" ht="15.75" customHeight="1">
      <c r="A49" s="21">
        <v>45</v>
      </c>
      <c r="B49" s="21">
        <v>4.2</v>
      </c>
      <c r="C49" s="21">
        <v>5.4</v>
      </c>
      <c r="D49" s="21">
        <v>3.7</v>
      </c>
      <c r="E49" s="21"/>
      <c r="F49">
        <v>4.3</v>
      </c>
      <c r="H49">
        <v>4</v>
      </c>
      <c r="I49" s="21" t="s">
        <v>56</v>
      </c>
      <c r="J49" s="34">
        <v>4.5</v>
      </c>
      <c r="K49" s="15" t="s">
        <v>56</v>
      </c>
      <c r="L49" s="35">
        <v>5.4</v>
      </c>
      <c r="M49" s="15" t="s">
        <v>56</v>
      </c>
      <c r="N49" s="35">
        <v>5.2</v>
      </c>
      <c r="O49" s="15" t="s">
        <v>56</v>
      </c>
      <c r="P49" s="35">
        <v>5.2</v>
      </c>
      <c r="R49" s="35">
        <v>5.0999999999999996</v>
      </c>
      <c r="S49" s="15" t="s">
        <v>56</v>
      </c>
      <c r="T49" s="49">
        <v>6.1</v>
      </c>
      <c r="U49" s="15" t="s">
        <v>56</v>
      </c>
      <c r="V49" s="34">
        <v>6.9</v>
      </c>
      <c r="W49" s="15" t="s">
        <v>56</v>
      </c>
      <c r="X49" s="49">
        <v>6.44</v>
      </c>
      <c r="Y49" s="15" t="s">
        <v>56</v>
      </c>
      <c r="Z49" s="49">
        <v>8.1999999999999993</v>
      </c>
      <c r="AA49" s="69" t="s">
        <v>56</v>
      </c>
    </row>
    <row r="50" spans="1:27" ht="15.75" customHeight="1">
      <c r="A50" s="21">
        <v>46</v>
      </c>
      <c r="B50" s="21">
        <v>4.7</v>
      </c>
      <c r="C50" s="21">
        <v>4.4000000000000004</v>
      </c>
      <c r="D50" s="21">
        <v>3.4</v>
      </c>
      <c r="E50" s="21"/>
      <c r="F50">
        <v>4.4000000000000004</v>
      </c>
      <c r="H50">
        <v>4</v>
      </c>
      <c r="I50" s="21" t="s">
        <v>56</v>
      </c>
      <c r="J50" s="34">
        <v>4.4000000000000004</v>
      </c>
      <c r="K50" s="15" t="s">
        <v>56</v>
      </c>
      <c r="L50" s="35">
        <v>5.3</v>
      </c>
      <c r="M50" s="15" t="s">
        <v>56</v>
      </c>
      <c r="N50" s="35">
        <v>5.4</v>
      </c>
      <c r="O50" s="15" t="s">
        <v>56</v>
      </c>
      <c r="P50" s="35">
        <v>5.0999999999999996</v>
      </c>
      <c r="R50" s="35">
        <v>4.9000000000000004</v>
      </c>
      <c r="S50" s="15" t="s">
        <v>56</v>
      </c>
      <c r="T50" s="49">
        <v>5.68</v>
      </c>
      <c r="U50" s="15" t="s">
        <v>56</v>
      </c>
      <c r="V50" s="34">
        <v>7.42</v>
      </c>
      <c r="W50" s="15" t="s">
        <v>56</v>
      </c>
      <c r="X50" s="49">
        <v>6.49</v>
      </c>
      <c r="Y50" s="15" t="s">
        <v>56</v>
      </c>
      <c r="Z50" s="49">
        <v>7.1</v>
      </c>
      <c r="AA50" s="69" t="s">
        <v>56</v>
      </c>
    </row>
    <row r="51" spans="1:27" ht="15.75" customHeight="1">
      <c r="A51" s="21">
        <v>47</v>
      </c>
      <c r="B51" s="21">
        <v>4.5</v>
      </c>
      <c r="C51" s="21">
        <v>3.9</v>
      </c>
      <c r="D51" s="21">
        <v>3.6</v>
      </c>
      <c r="E51" s="21"/>
      <c r="F51">
        <v>4.3</v>
      </c>
      <c r="H51">
        <v>4.2</v>
      </c>
      <c r="I51" s="21" t="s">
        <v>56</v>
      </c>
      <c r="J51" s="34">
        <v>4.4000000000000004</v>
      </c>
      <c r="K51" s="15" t="s">
        <v>56</v>
      </c>
      <c r="L51" s="35">
        <v>5.8</v>
      </c>
      <c r="M51" s="15" t="s">
        <v>56</v>
      </c>
      <c r="N51" s="35">
        <v>4.7</v>
      </c>
      <c r="O51" s="15" t="s">
        <v>56</v>
      </c>
      <c r="P51" s="35">
        <v>4.9000000000000004</v>
      </c>
      <c r="R51" s="35">
        <v>5.0999999999999996</v>
      </c>
      <c r="S51" s="15" t="s">
        <v>56</v>
      </c>
      <c r="T51" s="49">
        <v>8.3000000000000007</v>
      </c>
      <c r="U51" s="15" t="s">
        <v>56</v>
      </c>
      <c r="V51" s="53">
        <v>19.829999999999998</v>
      </c>
      <c r="W51" s="15" t="s">
        <v>60</v>
      </c>
      <c r="X51" s="58">
        <v>17.510000000000002</v>
      </c>
      <c r="Y51" s="15" t="s">
        <v>60</v>
      </c>
      <c r="Z51" s="58">
        <v>15.3</v>
      </c>
      <c r="AA51" s="69" t="s">
        <v>60</v>
      </c>
    </row>
    <row r="52" spans="1:27" ht="15.75" customHeight="1">
      <c r="A52" s="21">
        <v>48</v>
      </c>
      <c r="B52" s="21">
        <v>4.4000000000000004</v>
      </c>
      <c r="C52" s="21">
        <v>5</v>
      </c>
      <c r="D52" s="21">
        <v>3.5</v>
      </c>
      <c r="E52" s="21"/>
      <c r="F52">
        <v>5.4</v>
      </c>
      <c r="H52">
        <v>4.0999999999999996</v>
      </c>
      <c r="I52" s="21" t="s">
        <v>56</v>
      </c>
      <c r="J52" s="34">
        <v>4.5</v>
      </c>
      <c r="K52" s="15" t="s">
        <v>56</v>
      </c>
      <c r="L52" s="35">
        <v>5.4</v>
      </c>
      <c r="M52" s="15" t="s">
        <v>56</v>
      </c>
      <c r="N52" s="35">
        <v>4.9000000000000004</v>
      </c>
      <c r="O52" s="15" t="s">
        <v>56</v>
      </c>
      <c r="P52" s="35">
        <v>5.2</v>
      </c>
      <c r="R52" s="35">
        <v>5.2</v>
      </c>
      <c r="S52" s="15" t="s">
        <v>56</v>
      </c>
      <c r="T52" s="49">
        <v>6.76</v>
      </c>
      <c r="U52" s="15" t="s">
        <v>56</v>
      </c>
      <c r="V52" s="34">
        <v>7.15</v>
      </c>
      <c r="W52" s="15" t="s">
        <v>56</v>
      </c>
      <c r="X52" s="49">
        <v>7.15</v>
      </c>
      <c r="Y52" s="15" t="s">
        <v>56</v>
      </c>
      <c r="Z52" s="49">
        <v>6.9</v>
      </c>
      <c r="AA52" s="69" t="s">
        <v>56</v>
      </c>
    </row>
    <row r="53" spans="1:27" ht="15.75" customHeight="1">
      <c r="A53" s="21">
        <v>49</v>
      </c>
      <c r="B53" s="21">
        <v>4.7</v>
      </c>
      <c r="C53" s="21">
        <v>4.5999999999999996</v>
      </c>
      <c r="D53" s="21">
        <v>4.2</v>
      </c>
      <c r="E53" s="21"/>
      <c r="F53">
        <v>4.3</v>
      </c>
      <c r="H53">
        <v>4.5999999999999996</v>
      </c>
      <c r="I53" s="21" t="s">
        <v>56</v>
      </c>
      <c r="J53" s="34">
        <v>4.8</v>
      </c>
      <c r="K53" s="15" t="s">
        <v>56</v>
      </c>
      <c r="L53" s="35">
        <v>5.2</v>
      </c>
      <c r="M53" s="15" t="s">
        <v>56</v>
      </c>
      <c r="N53" s="35">
        <v>5.0999999999999996</v>
      </c>
      <c r="O53" s="15" t="s">
        <v>56</v>
      </c>
      <c r="P53" s="35">
        <v>5.2</v>
      </c>
      <c r="R53" s="35">
        <v>4.8</v>
      </c>
      <c r="S53" s="15" t="s">
        <v>56</v>
      </c>
      <c r="T53" s="49">
        <v>6.79</v>
      </c>
      <c r="U53" s="15" t="s">
        <v>56</v>
      </c>
      <c r="V53" s="34">
        <v>6.16</v>
      </c>
      <c r="W53" s="15" t="s">
        <v>56</v>
      </c>
      <c r="X53" s="49">
        <v>6.12</v>
      </c>
      <c r="Y53" s="15" t="s">
        <v>56</v>
      </c>
      <c r="Z53" s="49">
        <v>6.3</v>
      </c>
      <c r="AA53" s="69" t="s">
        <v>56</v>
      </c>
    </row>
    <row r="54" spans="1:27" ht="15.75" customHeight="1">
      <c r="A54" s="21">
        <v>50</v>
      </c>
      <c r="B54" s="21">
        <v>4.5</v>
      </c>
      <c r="C54" s="21">
        <v>4.4000000000000004</v>
      </c>
      <c r="D54" s="21">
        <v>4</v>
      </c>
      <c r="E54" s="21"/>
      <c r="F54">
        <v>3.8</v>
      </c>
      <c r="H54">
        <v>4.9000000000000004</v>
      </c>
      <c r="I54" s="21" t="s">
        <v>56</v>
      </c>
      <c r="J54" s="34">
        <v>5.5</v>
      </c>
      <c r="K54" s="15" t="s">
        <v>56</v>
      </c>
      <c r="L54" s="35">
        <v>6.3</v>
      </c>
      <c r="M54" s="15" t="s">
        <v>56</v>
      </c>
      <c r="N54" s="35">
        <v>4.7</v>
      </c>
      <c r="O54" s="15" t="s">
        <v>56</v>
      </c>
      <c r="P54" s="35">
        <v>5.7</v>
      </c>
      <c r="R54" s="35">
        <v>5.8</v>
      </c>
      <c r="S54" s="15" t="s">
        <v>56</v>
      </c>
      <c r="T54" s="49">
        <v>6.38</v>
      </c>
      <c r="U54" s="15" t="s">
        <v>56</v>
      </c>
      <c r="V54" s="52">
        <v>11.44</v>
      </c>
      <c r="W54" s="15" t="s">
        <v>58</v>
      </c>
      <c r="X54" s="56">
        <v>11.45</v>
      </c>
      <c r="Y54" s="15" t="s">
        <v>58</v>
      </c>
      <c r="Z54" s="49">
        <v>8</v>
      </c>
      <c r="AA54" s="69" t="s">
        <v>56</v>
      </c>
    </row>
    <row r="55" spans="1:27" ht="15.75" customHeight="1">
      <c r="A55" s="21">
        <v>51</v>
      </c>
      <c r="B55" s="21">
        <v>4.3</v>
      </c>
      <c r="C55" s="21">
        <v>4.0999999999999996</v>
      </c>
      <c r="D55" s="21">
        <v>4</v>
      </c>
      <c r="E55" s="21"/>
      <c r="F55">
        <v>4.5999999999999996</v>
      </c>
      <c r="H55">
        <v>4.8</v>
      </c>
      <c r="I55" s="21" t="s">
        <v>56</v>
      </c>
      <c r="J55" s="34">
        <v>5.2</v>
      </c>
      <c r="K55" s="15" t="s">
        <v>56</v>
      </c>
      <c r="L55" s="35">
        <v>5.5</v>
      </c>
      <c r="M55" s="15" t="s">
        <v>56</v>
      </c>
      <c r="N55" s="35">
        <v>5.6</v>
      </c>
      <c r="O55" s="15" t="s">
        <v>56</v>
      </c>
      <c r="P55" s="35">
        <v>4.9000000000000004</v>
      </c>
      <c r="R55" s="35">
        <v>4.9000000000000004</v>
      </c>
      <c r="S55" s="15" t="s">
        <v>56</v>
      </c>
      <c r="T55" s="49">
        <v>5.98</v>
      </c>
      <c r="U55" s="15" t="s">
        <v>56</v>
      </c>
      <c r="V55" s="34">
        <v>6.46</v>
      </c>
      <c r="W55" s="15" t="s">
        <v>56</v>
      </c>
      <c r="X55" s="49">
        <v>6.95</v>
      </c>
      <c r="Y55" s="15" t="s">
        <v>56</v>
      </c>
      <c r="Z55" s="58">
        <v>13.4</v>
      </c>
      <c r="AA55" s="69" t="s">
        <v>60</v>
      </c>
    </row>
    <row r="56" spans="1:27" ht="15.75" customHeight="1">
      <c r="A56" s="21">
        <v>52</v>
      </c>
      <c r="B56" s="21">
        <v>4.4000000000000004</v>
      </c>
      <c r="C56" s="21">
        <v>3.9</v>
      </c>
      <c r="D56" s="21">
        <v>3.4</v>
      </c>
      <c r="E56" s="21"/>
      <c r="F56">
        <v>5.2</v>
      </c>
      <c r="H56">
        <v>4.7</v>
      </c>
      <c r="I56" s="21" t="s">
        <v>56</v>
      </c>
      <c r="J56" s="34">
        <v>5.7</v>
      </c>
      <c r="K56" s="15" t="s">
        <v>56</v>
      </c>
      <c r="L56" s="35">
        <v>5.2</v>
      </c>
      <c r="M56" s="15" t="s">
        <v>56</v>
      </c>
      <c r="N56" s="35">
        <v>5.7</v>
      </c>
      <c r="O56" s="15" t="s">
        <v>56</v>
      </c>
      <c r="P56" s="35">
        <v>5.2</v>
      </c>
      <c r="R56" s="35">
        <v>4.8</v>
      </c>
      <c r="S56" s="15" t="s">
        <v>56</v>
      </c>
      <c r="T56" s="49">
        <v>6.65</v>
      </c>
      <c r="U56" s="15" t="s">
        <v>56</v>
      </c>
      <c r="V56" s="34">
        <v>5.96</v>
      </c>
      <c r="W56" s="15" t="s">
        <v>56</v>
      </c>
      <c r="X56" s="49">
        <v>5.9</v>
      </c>
      <c r="Y56" s="15" t="s">
        <v>56</v>
      </c>
      <c r="Z56" s="49">
        <v>7</v>
      </c>
      <c r="AA56" s="69" t="s">
        <v>56</v>
      </c>
    </row>
    <row r="57" spans="1:27" ht="15.75" customHeight="1">
      <c r="A57" s="21">
        <v>53</v>
      </c>
      <c r="B57" s="21">
        <v>4.4000000000000004</v>
      </c>
      <c r="C57" s="21">
        <v>4.2</v>
      </c>
      <c r="D57" s="21">
        <v>3.8</v>
      </c>
      <c r="E57" s="21"/>
      <c r="F57">
        <v>4.7</v>
      </c>
      <c r="H57">
        <v>4.2</v>
      </c>
      <c r="I57" s="21" t="s">
        <v>56</v>
      </c>
      <c r="J57" s="34">
        <v>4.5999999999999996</v>
      </c>
      <c r="K57" s="15" t="s">
        <v>56</v>
      </c>
      <c r="L57" s="35">
        <v>5.6</v>
      </c>
      <c r="M57" s="15" t="s">
        <v>56</v>
      </c>
      <c r="N57" s="35">
        <v>5.3</v>
      </c>
      <c r="O57" s="15" t="s">
        <v>56</v>
      </c>
      <c r="P57" s="35">
        <v>5.2</v>
      </c>
      <c r="R57" s="35">
        <v>5.7</v>
      </c>
      <c r="S57" s="15" t="s">
        <v>56</v>
      </c>
      <c r="T57" s="49">
        <v>7.52</v>
      </c>
      <c r="U57" s="15" t="s">
        <v>56</v>
      </c>
      <c r="V57" s="34">
        <v>6.74</v>
      </c>
      <c r="W57" s="15" t="s">
        <v>56</v>
      </c>
      <c r="X57" s="49">
        <v>6.34</v>
      </c>
      <c r="Y57" s="15" t="s">
        <v>56</v>
      </c>
      <c r="Z57" s="49">
        <v>7.9</v>
      </c>
      <c r="AA57" s="69" t="s">
        <v>56</v>
      </c>
    </row>
    <row r="58" spans="1:27" ht="15.75" customHeight="1">
      <c r="A58" s="21">
        <v>54</v>
      </c>
      <c r="B58" s="21">
        <v>4.5999999999999996</v>
      </c>
      <c r="C58" s="21">
        <v>4.4000000000000004</v>
      </c>
      <c r="D58" s="21">
        <v>3.8</v>
      </c>
      <c r="E58" s="21"/>
      <c r="F58">
        <v>4.0999999999999996</v>
      </c>
      <c r="H58">
        <v>4.2</v>
      </c>
      <c r="I58" s="21" t="s">
        <v>56</v>
      </c>
      <c r="J58" s="34">
        <v>4.5</v>
      </c>
      <c r="K58" s="15" t="s">
        <v>56</v>
      </c>
      <c r="L58" s="35">
        <v>5.6</v>
      </c>
      <c r="M58" s="15" t="s">
        <v>56</v>
      </c>
      <c r="N58" s="35">
        <v>4.9000000000000004</v>
      </c>
      <c r="O58" s="15" t="s">
        <v>56</v>
      </c>
      <c r="P58" s="35">
        <v>5</v>
      </c>
      <c r="R58" s="35">
        <v>5.2</v>
      </c>
      <c r="S58" s="15" t="s">
        <v>56</v>
      </c>
      <c r="T58" s="49">
        <v>6.71</v>
      </c>
      <c r="U58" s="15" t="s">
        <v>56</v>
      </c>
      <c r="V58" s="53">
        <v>14.57</v>
      </c>
      <c r="W58" s="15" t="s">
        <v>60</v>
      </c>
      <c r="X58" s="58">
        <v>13.92</v>
      </c>
      <c r="Y58" s="15" t="s">
        <v>60</v>
      </c>
      <c r="Z58" s="58">
        <v>18.7</v>
      </c>
      <c r="AA58" s="69" t="s">
        <v>60</v>
      </c>
    </row>
    <row r="59" spans="1:27" ht="15.75" customHeight="1">
      <c r="A59" s="21">
        <v>55</v>
      </c>
      <c r="B59" s="21">
        <v>4.5</v>
      </c>
      <c r="C59" s="21">
        <v>4.4000000000000004</v>
      </c>
      <c r="D59" s="21">
        <v>3.8</v>
      </c>
      <c r="E59" s="21"/>
      <c r="F59">
        <v>5.0999999999999996</v>
      </c>
      <c r="H59">
        <v>4.2</v>
      </c>
      <c r="I59" s="21" t="s">
        <v>56</v>
      </c>
      <c r="J59" s="34">
        <v>4.3</v>
      </c>
      <c r="K59" s="15" t="s">
        <v>56</v>
      </c>
      <c r="L59" s="35">
        <v>5.2</v>
      </c>
      <c r="M59" s="15" t="s">
        <v>56</v>
      </c>
      <c r="N59" s="35">
        <v>5</v>
      </c>
      <c r="O59" s="15" t="s">
        <v>56</v>
      </c>
      <c r="P59" s="35">
        <v>5.5</v>
      </c>
      <c r="R59" s="35">
        <v>4.7</v>
      </c>
      <c r="S59" s="15" t="s">
        <v>56</v>
      </c>
      <c r="T59" s="49">
        <v>6.54</v>
      </c>
      <c r="U59" s="15" t="s">
        <v>56</v>
      </c>
      <c r="V59" s="34">
        <v>6.26</v>
      </c>
      <c r="W59" s="15" t="s">
        <v>56</v>
      </c>
      <c r="X59" s="49">
        <v>5.9</v>
      </c>
      <c r="Y59" s="15" t="s">
        <v>56</v>
      </c>
      <c r="Z59" s="49">
        <v>7.8</v>
      </c>
      <c r="AA59" s="69" t="s">
        <v>56</v>
      </c>
    </row>
    <row r="60" spans="1:27" ht="15.75" customHeight="1">
      <c r="A60" s="21">
        <v>56</v>
      </c>
      <c r="B60" s="21">
        <v>4.5999999999999996</v>
      </c>
      <c r="C60" s="21">
        <v>3.9</v>
      </c>
      <c r="D60" s="21">
        <v>3.9</v>
      </c>
      <c r="E60" s="21"/>
      <c r="F60">
        <v>3.9</v>
      </c>
      <c r="H60">
        <v>4.2</v>
      </c>
      <c r="I60" s="21" t="s">
        <v>56</v>
      </c>
      <c r="J60" s="34">
        <v>4.3</v>
      </c>
      <c r="K60" s="15" t="s">
        <v>56</v>
      </c>
      <c r="L60" s="35">
        <v>5.2</v>
      </c>
      <c r="M60" s="15" t="s">
        <v>56</v>
      </c>
      <c r="N60" s="35">
        <v>4.5999999999999996</v>
      </c>
      <c r="O60" s="15" t="s">
        <v>56</v>
      </c>
      <c r="P60" s="35">
        <v>4.9000000000000004</v>
      </c>
      <c r="R60" s="35">
        <v>4.7</v>
      </c>
      <c r="S60" s="15" t="s">
        <v>56</v>
      </c>
      <c r="T60" s="49">
        <v>5.34</v>
      </c>
      <c r="U60" s="15" t="s">
        <v>56</v>
      </c>
      <c r="V60" s="34">
        <v>6.76</v>
      </c>
      <c r="W60" s="15" t="s">
        <v>56</v>
      </c>
      <c r="X60" s="49">
        <v>6.35</v>
      </c>
      <c r="Y60" s="15" t="s">
        <v>56</v>
      </c>
      <c r="Z60" s="49">
        <v>7.8</v>
      </c>
      <c r="AA60" s="69" t="s">
        <v>56</v>
      </c>
    </row>
    <row r="61" spans="1:27" ht="15.75" customHeight="1">
      <c r="A61" s="21">
        <v>57</v>
      </c>
      <c r="B61" s="21">
        <v>4.5</v>
      </c>
      <c r="C61" s="21">
        <v>4.2</v>
      </c>
      <c r="D61" s="21">
        <v>3.5</v>
      </c>
      <c r="E61" s="21"/>
      <c r="F61">
        <v>4.3</v>
      </c>
      <c r="H61">
        <v>4.3</v>
      </c>
      <c r="I61" s="21" t="s">
        <v>56</v>
      </c>
      <c r="J61" s="34">
        <v>4.4000000000000004</v>
      </c>
      <c r="K61" s="15" t="s">
        <v>56</v>
      </c>
      <c r="L61" s="35">
        <v>5.5</v>
      </c>
      <c r="M61" s="15" t="s">
        <v>56</v>
      </c>
      <c r="N61" s="35">
        <v>4.5999999999999996</v>
      </c>
      <c r="O61" s="15" t="s">
        <v>56</v>
      </c>
      <c r="P61" s="35">
        <v>5</v>
      </c>
      <c r="R61" s="35">
        <v>5.0999999999999996</v>
      </c>
      <c r="S61" s="15" t="s">
        <v>56</v>
      </c>
      <c r="T61" s="56">
        <v>9.24</v>
      </c>
      <c r="U61" s="15" t="s">
        <v>58</v>
      </c>
      <c r="V61" s="34">
        <v>6.93</v>
      </c>
      <c r="W61" s="15" t="s">
        <v>56</v>
      </c>
      <c r="X61" s="49">
        <v>6.34</v>
      </c>
      <c r="Y61" s="15" t="s">
        <v>56</v>
      </c>
      <c r="Z61" s="49">
        <v>8.1</v>
      </c>
      <c r="AA61" s="69" t="s">
        <v>56</v>
      </c>
    </row>
    <row r="62" spans="1:27" ht="15.75" customHeight="1">
      <c r="A62" s="21">
        <v>58</v>
      </c>
      <c r="B62" s="21">
        <v>4.5</v>
      </c>
      <c r="C62" s="21">
        <v>5</v>
      </c>
      <c r="D62" s="21">
        <v>3.5</v>
      </c>
      <c r="E62" s="21"/>
      <c r="F62">
        <v>4.4000000000000004</v>
      </c>
      <c r="H62">
        <v>4.3</v>
      </c>
      <c r="I62" s="21" t="s">
        <v>56</v>
      </c>
      <c r="J62" s="34">
        <v>4.4000000000000004</v>
      </c>
      <c r="K62" s="15" t="s">
        <v>56</v>
      </c>
      <c r="L62" s="35">
        <v>5.4</v>
      </c>
      <c r="M62" s="15" t="s">
        <v>56</v>
      </c>
      <c r="N62" s="35">
        <v>4.9000000000000004</v>
      </c>
      <c r="O62" s="15" t="s">
        <v>56</v>
      </c>
      <c r="P62" s="35">
        <v>4.7</v>
      </c>
      <c r="R62" s="35">
        <v>5</v>
      </c>
      <c r="S62" s="15" t="s">
        <v>56</v>
      </c>
      <c r="T62" s="49">
        <v>7.4</v>
      </c>
      <c r="U62" s="15" t="s">
        <v>56</v>
      </c>
      <c r="V62" s="34">
        <v>7.9</v>
      </c>
      <c r="W62" s="15" t="s">
        <v>56</v>
      </c>
      <c r="X62" s="49">
        <v>6.67</v>
      </c>
      <c r="Y62" s="15" t="s">
        <v>56</v>
      </c>
      <c r="Z62" s="49">
        <v>6.5</v>
      </c>
      <c r="AA62" s="69" t="s">
        <v>56</v>
      </c>
    </row>
    <row r="63" spans="1:27" ht="15.75" customHeight="1">
      <c r="A63" s="21">
        <v>59</v>
      </c>
      <c r="B63" s="21">
        <v>4.5</v>
      </c>
      <c r="C63" s="21">
        <v>4.5999999999999996</v>
      </c>
      <c r="D63" s="21">
        <v>3.8</v>
      </c>
      <c r="E63" s="21"/>
      <c r="F63">
        <v>5</v>
      </c>
      <c r="H63">
        <v>4.8</v>
      </c>
      <c r="I63" s="21" t="s">
        <v>56</v>
      </c>
      <c r="J63" s="34">
        <v>5</v>
      </c>
      <c r="K63" s="15" t="s">
        <v>56</v>
      </c>
      <c r="L63" s="35">
        <v>5.5</v>
      </c>
      <c r="M63" s="15" t="s">
        <v>56</v>
      </c>
      <c r="N63" s="35">
        <v>4.8</v>
      </c>
      <c r="O63" s="15" t="s">
        <v>56</v>
      </c>
      <c r="P63" s="35">
        <v>4.9000000000000004</v>
      </c>
      <c r="R63" s="35">
        <v>5.2</v>
      </c>
      <c r="S63" s="15" t="s">
        <v>56</v>
      </c>
      <c r="T63" s="49">
        <v>6.41</v>
      </c>
      <c r="U63" s="15" t="s">
        <v>56</v>
      </c>
      <c r="V63" s="34">
        <v>7.23</v>
      </c>
      <c r="W63" s="15" t="s">
        <v>56</v>
      </c>
      <c r="X63" s="49">
        <v>7.21</v>
      </c>
      <c r="Y63" s="15" t="s">
        <v>56</v>
      </c>
      <c r="Z63" s="49">
        <v>8.9</v>
      </c>
      <c r="AA63" s="69" t="s">
        <v>56</v>
      </c>
    </row>
    <row r="64" spans="1:27" ht="15.75" customHeight="1">
      <c r="A64" s="21">
        <v>60</v>
      </c>
      <c r="B64" s="21">
        <v>4.8</v>
      </c>
      <c r="C64" s="21">
        <v>4</v>
      </c>
      <c r="D64" s="21">
        <v>3.4</v>
      </c>
      <c r="E64" s="21"/>
      <c r="F64">
        <v>4.7</v>
      </c>
      <c r="H64">
        <v>4.7</v>
      </c>
      <c r="I64" s="21" t="s">
        <v>56</v>
      </c>
      <c r="J64" s="34">
        <v>4.9000000000000004</v>
      </c>
      <c r="K64" s="15" t="s">
        <v>56</v>
      </c>
      <c r="L64" s="35">
        <v>5.7</v>
      </c>
      <c r="M64" s="15" t="s">
        <v>56</v>
      </c>
      <c r="N64" s="35">
        <v>4.8</v>
      </c>
      <c r="O64" s="15" t="s">
        <v>56</v>
      </c>
      <c r="P64" s="35">
        <v>5.4</v>
      </c>
      <c r="R64" s="35">
        <v>5.2</v>
      </c>
      <c r="S64" s="15" t="s">
        <v>56</v>
      </c>
      <c r="T64" s="49">
        <v>6.12</v>
      </c>
      <c r="U64" s="15" t="s">
        <v>56</v>
      </c>
      <c r="V64" s="34">
        <v>6.58</v>
      </c>
      <c r="W64" s="15" t="s">
        <v>56</v>
      </c>
      <c r="X64" s="49">
        <v>6.57</v>
      </c>
      <c r="Y64" s="15" t="s">
        <v>56</v>
      </c>
      <c r="Z64" s="49">
        <v>5.5</v>
      </c>
      <c r="AA64" s="69" t="s">
        <v>56</v>
      </c>
    </row>
    <row r="65" spans="1:27" ht="15.75" customHeight="1">
      <c r="A65" s="21">
        <v>61</v>
      </c>
      <c r="B65" s="21">
        <v>5.7</v>
      </c>
      <c r="C65" s="21">
        <v>4.9000000000000004</v>
      </c>
      <c r="D65" s="21">
        <v>3.9</v>
      </c>
      <c r="E65" s="21"/>
      <c r="F65">
        <v>5</v>
      </c>
      <c r="H65">
        <v>4.9000000000000004</v>
      </c>
      <c r="I65" s="21" t="s">
        <v>56</v>
      </c>
      <c r="J65" s="34">
        <v>5</v>
      </c>
      <c r="K65" s="15" t="s">
        <v>56</v>
      </c>
      <c r="L65" s="35">
        <v>5.5</v>
      </c>
      <c r="M65" s="15" t="s">
        <v>56</v>
      </c>
      <c r="N65" s="35">
        <v>5.2</v>
      </c>
      <c r="O65" s="15" t="s">
        <v>56</v>
      </c>
      <c r="P65" s="35">
        <v>4.7</v>
      </c>
      <c r="R65" s="35">
        <v>4.9000000000000004</v>
      </c>
      <c r="S65" s="15" t="s">
        <v>56</v>
      </c>
      <c r="T65" s="49">
        <v>7.1</v>
      </c>
      <c r="U65" s="15" t="s">
        <v>56</v>
      </c>
      <c r="V65" s="34">
        <v>6.21</v>
      </c>
      <c r="W65" s="15" t="s">
        <v>56</v>
      </c>
      <c r="X65" s="49">
        <v>6.14</v>
      </c>
      <c r="Y65" s="15" t="s">
        <v>56</v>
      </c>
      <c r="Z65" s="49">
        <v>8.4</v>
      </c>
      <c r="AA65" s="69" t="s">
        <v>56</v>
      </c>
    </row>
    <row r="66" spans="1:27" ht="15.75" customHeight="1">
      <c r="A66" s="21">
        <v>62</v>
      </c>
      <c r="B66" s="21">
        <v>4.5999999999999996</v>
      </c>
      <c r="C66" s="21">
        <v>4.4000000000000004</v>
      </c>
      <c r="D66" s="21">
        <v>3.8</v>
      </c>
      <c r="E66" s="21"/>
      <c r="F66">
        <v>4.7</v>
      </c>
      <c r="H66">
        <v>4.9000000000000004</v>
      </c>
      <c r="I66" s="21" t="s">
        <v>56</v>
      </c>
      <c r="J66" s="34">
        <v>5.2</v>
      </c>
      <c r="K66" s="15" t="s">
        <v>56</v>
      </c>
      <c r="L66" s="35">
        <v>5.2</v>
      </c>
      <c r="M66" s="15" t="s">
        <v>56</v>
      </c>
      <c r="N66" s="35">
        <v>5.5</v>
      </c>
      <c r="O66" s="15" t="s">
        <v>56</v>
      </c>
      <c r="P66" s="35">
        <v>5.0999999999999996</v>
      </c>
      <c r="R66" s="35">
        <v>4.8</v>
      </c>
      <c r="S66" s="15" t="s">
        <v>56</v>
      </c>
      <c r="T66" s="49">
        <v>7.23</v>
      </c>
      <c r="U66" s="15" t="s">
        <v>56</v>
      </c>
      <c r="V66" s="34">
        <v>6.4</v>
      </c>
      <c r="W66" s="15" t="s">
        <v>56</v>
      </c>
      <c r="X66" s="49">
        <v>6.34</v>
      </c>
      <c r="Y66" s="15" t="s">
        <v>56</v>
      </c>
      <c r="Z66" s="49">
        <v>9</v>
      </c>
      <c r="AA66" s="69" t="s">
        <v>56</v>
      </c>
    </row>
    <row r="67" spans="1:27" ht="15.75" customHeight="1">
      <c r="A67" s="21">
        <v>63</v>
      </c>
      <c r="B67" s="21">
        <v>4.7</v>
      </c>
      <c r="C67" s="21">
        <v>4</v>
      </c>
      <c r="D67" s="21">
        <v>3.4</v>
      </c>
      <c r="E67" s="21"/>
      <c r="F67">
        <v>4.5999999999999996</v>
      </c>
      <c r="H67">
        <v>4.7</v>
      </c>
      <c r="I67" s="21" t="s">
        <v>56</v>
      </c>
      <c r="J67" s="34">
        <v>4.7</v>
      </c>
      <c r="K67" s="15" t="s">
        <v>56</v>
      </c>
      <c r="L67" s="35">
        <v>5.5</v>
      </c>
      <c r="M67" s="15" t="s">
        <v>56</v>
      </c>
      <c r="N67" s="35">
        <v>5.2</v>
      </c>
      <c r="O67" s="15" t="s">
        <v>56</v>
      </c>
      <c r="P67" s="35">
        <v>4.8</v>
      </c>
      <c r="R67" s="35">
        <v>5</v>
      </c>
      <c r="S67" s="15" t="s">
        <v>56</v>
      </c>
      <c r="T67" s="49">
        <v>6.58</v>
      </c>
      <c r="U67" s="15" t="s">
        <v>56</v>
      </c>
      <c r="V67" s="34">
        <v>7.4</v>
      </c>
      <c r="W67" s="15" t="s">
        <v>56</v>
      </c>
      <c r="X67" s="49">
        <v>7.88</v>
      </c>
      <c r="Y67" s="15" t="s">
        <v>56</v>
      </c>
      <c r="Z67" s="56">
        <v>9.1999999999999993</v>
      </c>
      <c r="AA67" s="69" t="s">
        <v>58</v>
      </c>
    </row>
    <row r="68" spans="1:27" ht="15.75" customHeight="1">
      <c r="A68" s="21">
        <v>64</v>
      </c>
      <c r="B68" s="21">
        <v>4.3</v>
      </c>
      <c r="C68" s="21">
        <v>3.9</v>
      </c>
      <c r="D68" s="21">
        <v>4.0999999999999996</v>
      </c>
      <c r="E68" s="21"/>
      <c r="F68">
        <v>4.2</v>
      </c>
      <c r="H68">
        <v>4</v>
      </c>
      <c r="I68" s="21" t="s">
        <v>56</v>
      </c>
      <c r="J68" s="34">
        <v>4.4000000000000004</v>
      </c>
      <c r="K68" s="15" t="s">
        <v>56</v>
      </c>
      <c r="L68" s="35">
        <v>5.7</v>
      </c>
      <c r="M68" s="15" t="s">
        <v>56</v>
      </c>
      <c r="N68" s="35">
        <v>4.5999999999999996</v>
      </c>
      <c r="O68" s="15" t="s">
        <v>56</v>
      </c>
      <c r="P68" s="35">
        <v>5.2</v>
      </c>
      <c r="R68" s="35">
        <v>5.5</v>
      </c>
      <c r="S68" s="15" t="s">
        <v>56</v>
      </c>
      <c r="T68" s="49">
        <v>6.25</v>
      </c>
      <c r="U68" s="15" t="s">
        <v>56</v>
      </c>
      <c r="V68" s="52">
        <v>10.45</v>
      </c>
      <c r="W68" s="15" t="s">
        <v>58</v>
      </c>
      <c r="X68" s="56">
        <v>9.9700000000000006</v>
      </c>
      <c r="Y68" s="15" t="s">
        <v>58</v>
      </c>
      <c r="Z68" s="49">
        <v>7.3</v>
      </c>
      <c r="AA68" s="69" t="s">
        <v>56</v>
      </c>
    </row>
    <row r="69" spans="1:27" ht="15.75" customHeight="1">
      <c r="A69" s="21">
        <v>65</v>
      </c>
      <c r="B69" s="21">
        <v>4.5</v>
      </c>
      <c r="C69" s="21">
        <v>4.3</v>
      </c>
      <c r="D69" s="21">
        <v>3.6</v>
      </c>
      <c r="E69" s="21"/>
      <c r="F69">
        <v>4.4000000000000004</v>
      </c>
      <c r="H69">
        <v>4.2</v>
      </c>
      <c r="I69" s="21" t="s">
        <v>56</v>
      </c>
      <c r="J69" s="34">
        <v>4.5999999999999996</v>
      </c>
      <c r="K69" s="15" t="s">
        <v>56</v>
      </c>
      <c r="L69" s="35">
        <v>5.2</v>
      </c>
      <c r="M69" s="15" t="s">
        <v>56</v>
      </c>
      <c r="N69" s="35">
        <v>5.0999999999999996</v>
      </c>
      <c r="O69" s="15" t="s">
        <v>56</v>
      </c>
      <c r="P69" s="35">
        <v>5.0999999999999996</v>
      </c>
      <c r="R69" s="35">
        <v>4.7</v>
      </c>
      <c r="S69" s="15" t="s">
        <v>56</v>
      </c>
      <c r="T69" s="49">
        <v>6.15</v>
      </c>
      <c r="U69" s="15" t="s">
        <v>56</v>
      </c>
      <c r="V69" s="34">
        <v>5.59</v>
      </c>
      <c r="W69" s="15" t="s">
        <v>56</v>
      </c>
      <c r="X69" s="49">
        <v>5.37</v>
      </c>
      <c r="Y69" s="15" t="s">
        <v>56</v>
      </c>
      <c r="Z69" s="49">
        <v>6.7</v>
      </c>
      <c r="AA69" s="69" t="s">
        <v>56</v>
      </c>
    </row>
    <row r="70" spans="1:27" ht="15.75" customHeight="1">
      <c r="A70" s="21">
        <v>66</v>
      </c>
      <c r="B70" s="21">
        <v>4.5999999999999996</v>
      </c>
      <c r="C70" s="21">
        <v>4.4000000000000004</v>
      </c>
      <c r="D70" s="21">
        <v>3.9</v>
      </c>
      <c r="E70" s="21"/>
      <c r="F70">
        <v>4.8</v>
      </c>
      <c r="H70">
        <v>4.4000000000000004</v>
      </c>
      <c r="I70" s="21" t="s">
        <v>56</v>
      </c>
      <c r="J70" s="34">
        <v>4.7</v>
      </c>
      <c r="K70" s="15" t="s">
        <v>56</v>
      </c>
      <c r="L70" s="35">
        <v>5.7</v>
      </c>
      <c r="M70" s="15" t="s">
        <v>56</v>
      </c>
      <c r="N70" s="35">
        <v>5.0999999999999996</v>
      </c>
      <c r="O70" s="15" t="s">
        <v>56</v>
      </c>
      <c r="P70" s="35">
        <v>4.8</v>
      </c>
      <c r="R70" s="35">
        <v>5.2</v>
      </c>
      <c r="S70" s="15" t="s">
        <v>56</v>
      </c>
      <c r="T70" s="49">
        <v>5.85</v>
      </c>
      <c r="U70" s="15" t="s">
        <v>56</v>
      </c>
      <c r="V70" s="34">
        <v>6.83</v>
      </c>
      <c r="W70" s="15" t="s">
        <v>56</v>
      </c>
      <c r="X70" s="49">
        <v>6.63</v>
      </c>
      <c r="Y70" s="15" t="s">
        <v>56</v>
      </c>
      <c r="Z70" s="49">
        <v>6.5</v>
      </c>
      <c r="AA70" s="69" t="s">
        <v>56</v>
      </c>
    </row>
    <row r="71" spans="1:27" ht="15.75" customHeight="1">
      <c r="A71" s="21">
        <v>67</v>
      </c>
      <c r="B71" s="21">
        <v>5</v>
      </c>
      <c r="C71" s="21">
        <v>4.0999999999999996</v>
      </c>
      <c r="D71" s="21">
        <v>3.9</v>
      </c>
      <c r="E71" s="21"/>
      <c r="F71">
        <v>5.3</v>
      </c>
      <c r="H71">
        <v>4.4000000000000004</v>
      </c>
      <c r="I71" s="21" t="s">
        <v>56</v>
      </c>
      <c r="J71" s="34">
        <v>5.3</v>
      </c>
      <c r="K71" s="15" t="s">
        <v>56</v>
      </c>
      <c r="L71" s="35">
        <v>5.7</v>
      </c>
      <c r="M71" s="15" t="s">
        <v>56</v>
      </c>
      <c r="N71" s="35">
        <v>5.6</v>
      </c>
      <c r="O71" s="15" t="s">
        <v>56</v>
      </c>
      <c r="P71" s="35">
        <v>4.8</v>
      </c>
      <c r="R71" s="35">
        <v>5.3</v>
      </c>
      <c r="S71" s="15" t="s">
        <v>56</v>
      </c>
      <c r="T71" s="58">
        <v>14.25</v>
      </c>
      <c r="U71" s="15" t="s">
        <v>60</v>
      </c>
      <c r="V71" s="34">
        <v>7.18</v>
      </c>
      <c r="W71" s="15" t="s">
        <v>56</v>
      </c>
      <c r="X71" s="49">
        <v>6.95</v>
      </c>
      <c r="Y71" s="15" t="s">
        <v>56</v>
      </c>
      <c r="Z71" s="56">
        <v>10.8</v>
      </c>
      <c r="AA71" s="69" t="s">
        <v>58</v>
      </c>
    </row>
    <row r="72" spans="1:27" ht="15.75" customHeight="1">
      <c r="A72" s="21">
        <v>68</v>
      </c>
      <c r="B72" s="21">
        <v>4</v>
      </c>
      <c r="C72" s="21">
        <v>3.9</v>
      </c>
      <c r="D72" s="21">
        <v>3.7</v>
      </c>
      <c r="E72" s="21"/>
      <c r="F72">
        <v>4.0999999999999996</v>
      </c>
      <c r="H72">
        <v>4.9000000000000004</v>
      </c>
      <c r="I72" s="21" t="s">
        <v>56</v>
      </c>
      <c r="J72" s="34">
        <v>5.0999999999999996</v>
      </c>
      <c r="K72" s="15" t="s">
        <v>56</v>
      </c>
      <c r="L72" s="35">
        <v>5.5</v>
      </c>
      <c r="M72" s="15" t="s">
        <v>56</v>
      </c>
      <c r="N72" s="35">
        <v>5.5</v>
      </c>
      <c r="O72" s="15" t="s">
        <v>56</v>
      </c>
      <c r="P72" s="35">
        <v>5.5</v>
      </c>
      <c r="R72" s="35">
        <v>5.0999999999999996</v>
      </c>
      <c r="S72" s="15" t="s">
        <v>56</v>
      </c>
      <c r="T72" s="49">
        <v>6.38</v>
      </c>
      <c r="U72" s="15" t="s">
        <v>56</v>
      </c>
      <c r="V72" s="34">
        <v>7.81</v>
      </c>
      <c r="W72" s="15" t="s">
        <v>56</v>
      </c>
      <c r="X72" s="49">
        <v>7.84</v>
      </c>
      <c r="Y72" s="15" t="s">
        <v>56</v>
      </c>
      <c r="Z72" s="49">
        <v>8.1999999999999993</v>
      </c>
      <c r="AA72" s="69" t="s">
        <v>56</v>
      </c>
    </row>
    <row r="73" spans="1:27" ht="15.75" customHeight="1">
      <c r="A73" s="21">
        <v>69</v>
      </c>
      <c r="B73" s="21">
        <v>4.3</v>
      </c>
      <c r="C73" s="21">
        <v>3.8</v>
      </c>
      <c r="D73" s="21">
        <v>3.8</v>
      </c>
      <c r="E73" s="21"/>
      <c r="F73">
        <v>3.9</v>
      </c>
      <c r="H73">
        <v>4.5</v>
      </c>
      <c r="I73" s="21" t="s">
        <v>56</v>
      </c>
      <c r="J73" s="34">
        <v>4.3</v>
      </c>
      <c r="K73" s="15" t="s">
        <v>56</v>
      </c>
      <c r="L73" s="35">
        <v>5.7</v>
      </c>
      <c r="M73" s="15" t="s">
        <v>56</v>
      </c>
      <c r="N73" s="35">
        <v>4.7</v>
      </c>
      <c r="O73" s="15" t="s">
        <v>56</v>
      </c>
      <c r="P73" s="35">
        <v>5</v>
      </c>
      <c r="R73" s="35">
        <v>5</v>
      </c>
      <c r="S73" s="15" t="s">
        <v>56</v>
      </c>
      <c r="T73" s="49">
        <v>5.85</v>
      </c>
      <c r="U73" s="15" t="s">
        <v>56</v>
      </c>
      <c r="V73" s="34">
        <v>6.8</v>
      </c>
      <c r="W73" s="15" t="s">
        <v>56</v>
      </c>
      <c r="X73" s="49">
        <v>6.76</v>
      </c>
      <c r="Y73" s="15" t="s">
        <v>56</v>
      </c>
      <c r="Z73" s="49">
        <v>7</v>
      </c>
      <c r="AA73" s="69" t="s">
        <v>56</v>
      </c>
    </row>
    <row r="74" spans="1:27" ht="15.75" customHeight="1">
      <c r="A74" s="21">
        <v>70</v>
      </c>
      <c r="B74" s="21">
        <v>4.5</v>
      </c>
      <c r="C74" s="21">
        <v>4.5</v>
      </c>
      <c r="D74" s="21">
        <v>3.8</v>
      </c>
      <c r="E74" s="21"/>
      <c r="F74">
        <v>4.5</v>
      </c>
      <c r="H74">
        <v>4.9000000000000004</v>
      </c>
      <c r="I74" s="21" t="s">
        <v>56</v>
      </c>
      <c r="J74" s="34">
        <v>4.4000000000000004</v>
      </c>
      <c r="K74" s="15" t="s">
        <v>56</v>
      </c>
      <c r="L74" s="35">
        <v>5.3</v>
      </c>
      <c r="M74" s="15" t="s">
        <v>56</v>
      </c>
      <c r="N74" s="35">
        <v>4.8</v>
      </c>
      <c r="O74" s="15" t="s">
        <v>56</v>
      </c>
      <c r="P74" s="35">
        <v>4.7</v>
      </c>
      <c r="R74" s="35">
        <v>4.9000000000000004</v>
      </c>
      <c r="S74" s="15" t="s">
        <v>56</v>
      </c>
      <c r="T74" s="49">
        <v>6.21</v>
      </c>
      <c r="U74" s="15" t="s">
        <v>56</v>
      </c>
      <c r="V74" s="34">
        <v>6.16</v>
      </c>
      <c r="W74" s="15" t="s">
        <v>56</v>
      </c>
      <c r="X74" s="49">
        <v>6.18</v>
      </c>
      <c r="Y74" s="15" t="s">
        <v>56</v>
      </c>
      <c r="Z74" s="49">
        <v>7.3</v>
      </c>
      <c r="AA74" s="69" t="s">
        <v>56</v>
      </c>
    </row>
    <row r="75" spans="1:27" ht="15.75" customHeight="1">
      <c r="A75" s="21">
        <v>71</v>
      </c>
      <c r="B75" s="21">
        <v>4.5999999999999996</v>
      </c>
      <c r="C75" s="21">
        <v>4.7</v>
      </c>
      <c r="D75" s="21">
        <v>4</v>
      </c>
      <c r="E75" s="21"/>
      <c r="F75">
        <v>4.9000000000000004</v>
      </c>
      <c r="H75">
        <v>4.0999999999999996</v>
      </c>
      <c r="I75" s="21" t="s">
        <v>56</v>
      </c>
      <c r="J75" s="34">
        <v>4.7</v>
      </c>
      <c r="K75" s="15" t="s">
        <v>56</v>
      </c>
      <c r="L75" s="35">
        <v>5.4</v>
      </c>
      <c r="M75" s="15" t="s">
        <v>56</v>
      </c>
      <c r="N75" s="35">
        <v>5.2</v>
      </c>
      <c r="O75" s="15" t="s">
        <v>56</v>
      </c>
      <c r="P75" s="35">
        <v>4.9000000000000004</v>
      </c>
      <c r="R75" s="35">
        <v>4.9000000000000004</v>
      </c>
      <c r="S75" s="15" t="s">
        <v>56</v>
      </c>
      <c r="T75" s="56">
        <v>10.72</v>
      </c>
      <c r="U75" s="15" t="s">
        <v>58</v>
      </c>
      <c r="V75" s="34">
        <v>6.58</v>
      </c>
      <c r="W75" s="15" t="s">
        <v>56</v>
      </c>
      <c r="X75" s="49">
        <v>7.34</v>
      </c>
      <c r="Y75" s="15" t="s">
        <v>56</v>
      </c>
      <c r="Z75" s="49">
        <v>6.7</v>
      </c>
      <c r="AA75" s="69" t="s">
        <v>56</v>
      </c>
    </row>
    <row r="76" spans="1:27" ht="15.75" customHeight="1">
      <c r="A76" s="21">
        <v>72</v>
      </c>
      <c r="B76" s="21">
        <v>4.4000000000000004</v>
      </c>
      <c r="C76" s="21">
        <v>4.0999999999999996</v>
      </c>
      <c r="D76" s="21">
        <v>4.2</v>
      </c>
      <c r="E76" s="21"/>
      <c r="F76">
        <v>4.4000000000000004</v>
      </c>
      <c r="H76">
        <v>4.7</v>
      </c>
      <c r="I76" s="21" t="s">
        <v>56</v>
      </c>
      <c r="J76" s="34">
        <v>5</v>
      </c>
      <c r="K76" s="15" t="s">
        <v>56</v>
      </c>
      <c r="L76" s="35">
        <v>5.0999999999999996</v>
      </c>
      <c r="M76" s="15" t="s">
        <v>56</v>
      </c>
      <c r="N76" s="35">
        <v>5.7</v>
      </c>
      <c r="O76" s="15" t="s">
        <v>56</v>
      </c>
      <c r="P76" s="35">
        <v>5</v>
      </c>
      <c r="R76" s="35">
        <v>5.4</v>
      </c>
      <c r="S76" s="15" t="s">
        <v>56</v>
      </c>
      <c r="T76" s="49">
        <v>6.07</v>
      </c>
      <c r="U76" s="15" t="s">
        <v>56</v>
      </c>
      <c r="V76" s="34">
        <v>6.87</v>
      </c>
      <c r="W76" s="15" t="s">
        <v>56</v>
      </c>
      <c r="X76" s="49">
        <v>6.95</v>
      </c>
      <c r="Y76" s="15" t="s">
        <v>56</v>
      </c>
      <c r="Z76" s="49">
        <v>7.4</v>
      </c>
      <c r="AA76" s="69" t="s">
        <v>56</v>
      </c>
    </row>
    <row r="77" spans="1:27" ht="15.75" customHeight="1">
      <c r="A77" s="21">
        <v>73</v>
      </c>
      <c r="B77" s="21">
        <v>4.4000000000000004</v>
      </c>
      <c r="C77" s="21">
        <v>4</v>
      </c>
      <c r="D77" s="21">
        <v>4</v>
      </c>
      <c r="E77" s="21"/>
      <c r="F77">
        <v>5</v>
      </c>
      <c r="H77">
        <v>4.8</v>
      </c>
      <c r="I77" s="21" t="s">
        <v>56</v>
      </c>
      <c r="J77" s="34">
        <v>4.7</v>
      </c>
      <c r="K77" s="15" t="s">
        <v>56</v>
      </c>
      <c r="L77" s="35">
        <v>5.6</v>
      </c>
      <c r="M77" s="15" t="s">
        <v>56</v>
      </c>
      <c r="N77" s="35">
        <v>5.5</v>
      </c>
      <c r="O77" s="15" t="s">
        <v>56</v>
      </c>
      <c r="P77" s="35">
        <v>5.0999999999999996</v>
      </c>
      <c r="R77" s="35">
        <v>5.2</v>
      </c>
      <c r="S77" s="15" t="s">
        <v>56</v>
      </c>
      <c r="T77" s="49">
        <v>6.95</v>
      </c>
      <c r="U77" s="15" t="s">
        <v>56</v>
      </c>
      <c r="V77" s="34">
        <v>6.94</v>
      </c>
      <c r="W77" s="15" t="s">
        <v>56</v>
      </c>
      <c r="X77" s="49">
        <v>9</v>
      </c>
      <c r="Y77" s="15" t="s">
        <v>56</v>
      </c>
      <c r="Z77" s="49">
        <v>8.6</v>
      </c>
      <c r="AA77" s="69" t="s">
        <v>56</v>
      </c>
    </row>
    <row r="78" spans="1:27" ht="15.75" customHeight="1">
      <c r="A78" s="21">
        <v>74</v>
      </c>
      <c r="B78" s="21">
        <v>5.0999999999999996</v>
      </c>
      <c r="C78" s="21">
        <v>4.5</v>
      </c>
      <c r="D78" s="21">
        <v>4.0999999999999996</v>
      </c>
      <c r="E78" s="21"/>
      <c r="F78">
        <v>4.5999999999999996</v>
      </c>
      <c r="H78">
        <v>4.4000000000000004</v>
      </c>
      <c r="I78" s="21" t="s">
        <v>56</v>
      </c>
      <c r="J78" s="34">
        <v>4.5</v>
      </c>
      <c r="K78" s="15" t="s">
        <v>56</v>
      </c>
      <c r="L78" s="35">
        <v>5.9</v>
      </c>
      <c r="M78" s="15" t="s">
        <v>56</v>
      </c>
      <c r="N78" s="35">
        <v>4.7</v>
      </c>
      <c r="O78" s="15" t="s">
        <v>56</v>
      </c>
      <c r="P78" s="35">
        <v>4.8</v>
      </c>
      <c r="R78" s="35">
        <v>5.7</v>
      </c>
      <c r="S78" s="15" t="s">
        <v>56</v>
      </c>
      <c r="T78" s="58">
        <v>18.440000000000001</v>
      </c>
      <c r="U78" s="15" t="s">
        <v>60</v>
      </c>
      <c r="V78" s="52">
        <v>9.01</v>
      </c>
      <c r="W78" s="15" t="s">
        <v>58</v>
      </c>
      <c r="X78" s="49">
        <v>6.2</v>
      </c>
      <c r="Y78" s="15" t="s">
        <v>56</v>
      </c>
      <c r="Z78" s="49">
        <v>7.7</v>
      </c>
      <c r="AA78" s="69" t="s">
        <v>56</v>
      </c>
    </row>
    <row r="79" spans="1:27" ht="15.75" customHeight="1">
      <c r="A79" s="21">
        <v>75</v>
      </c>
      <c r="B79" s="21">
        <v>4</v>
      </c>
      <c r="C79" s="21">
        <v>4.5</v>
      </c>
      <c r="D79" s="21">
        <v>4</v>
      </c>
      <c r="E79" s="21"/>
      <c r="F79">
        <v>4.5</v>
      </c>
      <c r="H79">
        <v>4.4000000000000004</v>
      </c>
      <c r="I79" s="21" t="s">
        <v>56</v>
      </c>
      <c r="J79" s="34">
        <v>4.4000000000000004</v>
      </c>
      <c r="K79" s="15" t="s">
        <v>56</v>
      </c>
      <c r="L79" s="35">
        <v>5.4</v>
      </c>
      <c r="M79" s="15" t="s">
        <v>56</v>
      </c>
      <c r="N79" s="35">
        <v>4.7</v>
      </c>
      <c r="O79" s="15" t="s">
        <v>56</v>
      </c>
      <c r="P79" s="35">
        <v>5.7</v>
      </c>
      <c r="R79" s="35">
        <v>4.9000000000000004</v>
      </c>
      <c r="S79" s="15" t="s">
        <v>56</v>
      </c>
      <c r="T79" s="49">
        <v>6.34</v>
      </c>
      <c r="U79" s="15" t="s">
        <v>56</v>
      </c>
      <c r="V79" s="34">
        <v>6.33</v>
      </c>
      <c r="W79" s="15" t="s">
        <v>56</v>
      </c>
      <c r="X79" s="49">
        <v>6.6</v>
      </c>
      <c r="Y79" s="15" t="s">
        <v>56</v>
      </c>
      <c r="Z79" s="49">
        <v>7.6</v>
      </c>
      <c r="AA79" s="69" t="s">
        <v>56</v>
      </c>
    </row>
    <row r="80" spans="1:27" ht="15.75" customHeight="1">
      <c r="A80" s="21">
        <v>76</v>
      </c>
      <c r="B80" s="21">
        <v>4.9000000000000004</v>
      </c>
      <c r="C80" s="21">
        <v>4.5999999999999996</v>
      </c>
      <c r="D80" s="21">
        <v>3.8</v>
      </c>
      <c r="E80" s="21"/>
      <c r="F80">
        <v>5.2</v>
      </c>
      <c r="H80">
        <v>4.2</v>
      </c>
      <c r="I80" s="21" t="s">
        <v>56</v>
      </c>
      <c r="J80" s="34">
        <v>4.4000000000000004</v>
      </c>
      <c r="K80" s="15" t="s">
        <v>56</v>
      </c>
      <c r="L80" s="35">
        <v>5.3</v>
      </c>
      <c r="M80" s="15" t="s">
        <v>56</v>
      </c>
      <c r="N80" s="35">
        <v>4.8</v>
      </c>
      <c r="O80" s="15" t="s">
        <v>56</v>
      </c>
      <c r="P80" s="35">
        <v>4.7</v>
      </c>
      <c r="R80" s="35">
        <v>4.9000000000000004</v>
      </c>
      <c r="S80" s="15" t="s">
        <v>56</v>
      </c>
      <c r="T80" s="49">
        <v>6.34</v>
      </c>
      <c r="U80" s="15" t="s">
        <v>56</v>
      </c>
      <c r="V80" s="34">
        <v>6.99</v>
      </c>
      <c r="W80" s="15" t="s">
        <v>56</v>
      </c>
      <c r="X80" s="49">
        <v>7.1</v>
      </c>
      <c r="Y80" s="15" t="s">
        <v>56</v>
      </c>
      <c r="Z80" s="49">
        <v>6.3</v>
      </c>
      <c r="AA80" s="69" t="s">
        <v>56</v>
      </c>
    </row>
    <row r="81" spans="1:27" ht="15.75" customHeight="1">
      <c r="A81" s="21">
        <v>77</v>
      </c>
      <c r="B81" s="21">
        <v>4.3</v>
      </c>
      <c r="C81" s="21">
        <v>4.2</v>
      </c>
      <c r="D81" s="21">
        <v>3.6</v>
      </c>
      <c r="E81" s="21"/>
      <c r="F81">
        <v>4.5999999999999996</v>
      </c>
      <c r="H81">
        <v>4.4000000000000004</v>
      </c>
      <c r="I81" s="21" t="s">
        <v>56</v>
      </c>
      <c r="J81" s="34">
        <v>4.5999999999999996</v>
      </c>
      <c r="K81" s="15" t="s">
        <v>56</v>
      </c>
      <c r="L81" s="35">
        <v>5.3</v>
      </c>
      <c r="M81" s="15" t="s">
        <v>56</v>
      </c>
      <c r="N81" s="35">
        <v>4.8</v>
      </c>
      <c r="O81" s="15" t="s">
        <v>56</v>
      </c>
      <c r="P81" s="35">
        <v>5.4</v>
      </c>
      <c r="R81" s="35">
        <v>4.9000000000000004</v>
      </c>
      <c r="S81" s="15" t="s">
        <v>56</v>
      </c>
      <c r="T81" s="49">
        <v>6.94</v>
      </c>
      <c r="U81" s="15" t="s">
        <v>56</v>
      </c>
      <c r="V81" s="34">
        <v>6.57</v>
      </c>
      <c r="W81" s="15" t="s">
        <v>56</v>
      </c>
      <c r="X81" s="49">
        <v>7.5</v>
      </c>
      <c r="Y81" s="15" t="s">
        <v>56</v>
      </c>
      <c r="Z81" s="56">
        <v>11.6</v>
      </c>
      <c r="AA81" s="69" t="s">
        <v>58</v>
      </c>
    </row>
    <row r="82" spans="1:27" ht="15.75" customHeight="1">
      <c r="A82" s="21">
        <v>78</v>
      </c>
      <c r="B82" s="21">
        <v>4.5</v>
      </c>
      <c r="C82" s="21">
        <v>4.3</v>
      </c>
      <c r="D82" s="21">
        <v>3.3</v>
      </c>
      <c r="E82" s="21"/>
      <c r="F82">
        <v>4.4000000000000004</v>
      </c>
      <c r="H82">
        <v>5.2</v>
      </c>
      <c r="I82" s="21" t="s">
        <v>56</v>
      </c>
      <c r="J82" s="34">
        <v>5.5</v>
      </c>
      <c r="K82" s="15" t="s">
        <v>56</v>
      </c>
      <c r="L82" s="35">
        <v>5.4</v>
      </c>
      <c r="M82" s="15" t="s">
        <v>56</v>
      </c>
      <c r="N82" s="35">
        <v>5.8</v>
      </c>
      <c r="O82" s="15" t="s">
        <v>56</v>
      </c>
      <c r="P82" s="35">
        <v>5.3</v>
      </c>
      <c r="R82" s="35">
        <v>5</v>
      </c>
      <c r="S82" s="15" t="s">
        <v>56</v>
      </c>
      <c r="T82" s="49">
        <v>6.08</v>
      </c>
      <c r="U82" s="15" t="s">
        <v>56</v>
      </c>
      <c r="V82" s="34">
        <v>8.75</v>
      </c>
      <c r="W82" s="15" t="s">
        <v>56</v>
      </c>
      <c r="X82" s="49">
        <v>8.3000000000000007</v>
      </c>
      <c r="Y82" s="15" t="s">
        <v>56</v>
      </c>
      <c r="Z82" s="49">
        <v>8.4</v>
      </c>
      <c r="AA82" s="69" t="s">
        <v>56</v>
      </c>
    </row>
    <row r="83" spans="1:27" ht="15.75" customHeight="1">
      <c r="A83" s="21">
        <v>79</v>
      </c>
      <c r="B83" s="21">
        <v>4.4000000000000004</v>
      </c>
      <c r="C83" s="21">
        <v>4.4000000000000004</v>
      </c>
      <c r="D83" s="21">
        <v>3.5</v>
      </c>
      <c r="E83" s="21"/>
      <c r="F83">
        <v>4.4000000000000004</v>
      </c>
      <c r="H83">
        <v>4.2</v>
      </c>
      <c r="I83" s="21" t="s">
        <v>56</v>
      </c>
      <c r="J83" s="34">
        <v>4.5</v>
      </c>
      <c r="K83" s="15" t="s">
        <v>56</v>
      </c>
      <c r="L83" s="35">
        <v>5.7</v>
      </c>
      <c r="M83" s="15" t="s">
        <v>56</v>
      </c>
      <c r="N83" s="35">
        <v>4.9000000000000004</v>
      </c>
      <c r="O83" s="15" t="s">
        <v>56</v>
      </c>
      <c r="P83" s="35">
        <v>5.2</v>
      </c>
      <c r="R83" s="35">
        <v>5.3</v>
      </c>
      <c r="S83" s="15" t="s">
        <v>56</v>
      </c>
      <c r="T83" s="49">
        <v>7.98</v>
      </c>
      <c r="U83" s="15" t="s">
        <v>56</v>
      </c>
      <c r="V83" s="34">
        <v>7.73</v>
      </c>
      <c r="W83" s="15" t="s">
        <v>56</v>
      </c>
      <c r="X83" s="49">
        <v>6</v>
      </c>
      <c r="Y83" s="15" t="s">
        <v>56</v>
      </c>
      <c r="Z83" s="49">
        <v>7.4</v>
      </c>
      <c r="AA83" s="69" t="s">
        <v>56</v>
      </c>
    </row>
    <row r="84" spans="1:27" ht="15.75" customHeight="1">
      <c r="A84" s="21">
        <v>80</v>
      </c>
      <c r="B84" s="21">
        <v>4.5999999999999996</v>
      </c>
      <c r="C84" s="21">
        <v>4.5999999999999996</v>
      </c>
      <c r="D84" s="21">
        <v>4.0999999999999996</v>
      </c>
      <c r="E84" s="21"/>
      <c r="F84">
        <v>4.4000000000000004</v>
      </c>
      <c r="H84">
        <v>4.0999999999999996</v>
      </c>
      <c r="I84" s="21" t="s">
        <v>56</v>
      </c>
      <c r="J84" s="34">
        <v>4.9000000000000004</v>
      </c>
      <c r="K84" s="15" t="s">
        <v>56</v>
      </c>
      <c r="L84" s="35">
        <v>5.5</v>
      </c>
      <c r="M84" s="15" t="s">
        <v>56</v>
      </c>
      <c r="N84" s="35">
        <v>6.3</v>
      </c>
      <c r="O84" s="15" t="s">
        <v>56</v>
      </c>
      <c r="P84" s="35">
        <v>5.0999999999999996</v>
      </c>
      <c r="R84" s="35">
        <v>5.0999999999999996</v>
      </c>
      <c r="S84" s="15" t="s">
        <v>56</v>
      </c>
      <c r="T84" s="49">
        <v>5.79</v>
      </c>
      <c r="U84" s="15" t="s">
        <v>56</v>
      </c>
      <c r="V84" s="34">
        <v>6.75</v>
      </c>
      <c r="W84" s="15" t="s">
        <v>56</v>
      </c>
      <c r="X84" s="56">
        <v>10.6</v>
      </c>
      <c r="Y84" s="15" t="s">
        <v>107</v>
      </c>
      <c r="Z84" s="49">
        <v>6.8</v>
      </c>
      <c r="AA84" s="69" t="s">
        <v>56</v>
      </c>
    </row>
    <row r="85" spans="1:27" ht="15.75" customHeight="1">
      <c r="A85" s="21">
        <v>81</v>
      </c>
      <c r="B85" s="21">
        <v>4.9000000000000004</v>
      </c>
      <c r="C85" s="21">
        <v>4.7</v>
      </c>
      <c r="D85" s="21">
        <v>4</v>
      </c>
      <c r="E85" s="21"/>
      <c r="F85">
        <v>5</v>
      </c>
      <c r="H85">
        <v>5.0999999999999996</v>
      </c>
      <c r="I85" s="21" t="s">
        <v>56</v>
      </c>
      <c r="J85" s="34">
        <v>5.4</v>
      </c>
      <c r="K85" s="15" t="s">
        <v>56</v>
      </c>
      <c r="L85" s="35">
        <v>6.2</v>
      </c>
      <c r="M85" s="15" t="s">
        <v>56</v>
      </c>
      <c r="N85" s="35">
        <v>5.4</v>
      </c>
      <c r="O85" s="15" t="s">
        <v>56</v>
      </c>
      <c r="P85" s="35">
        <v>4.8</v>
      </c>
      <c r="R85" s="35">
        <v>6.1</v>
      </c>
      <c r="S85" s="15" t="s">
        <v>56</v>
      </c>
      <c r="T85" s="49">
        <v>5.53</v>
      </c>
      <c r="U85" s="15" t="s">
        <v>56</v>
      </c>
      <c r="V85" s="52">
        <v>11.98</v>
      </c>
      <c r="W85" s="15" t="s">
        <v>107</v>
      </c>
      <c r="X85" s="49">
        <v>7.9</v>
      </c>
      <c r="Y85" s="15" t="s">
        <v>56</v>
      </c>
      <c r="Z85" s="49">
        <v>8.5</v>
      </c>
      <c r="AA85" s="69" t="s">
        <v>56</v>
      </c>
    </row>
    <row r="86" spans="1:27" ht="15.75" customHeight="1">
      <c r="A86" s="21">
        <v>82</v>
      </c>
      <c r="B86" s="21">
        <v>4.7</v>
      </c>
      <c r="C86" s="21">
        <v>4.8</v>
      </c>
      <c r="D86" s="21">
        <v>3.9</v>
      </c>
      <c r="E86" s="21"/>
      <c r="F86">
        <v>5</v>
      </c>
      <c r="H86">
        <v>4.5999999999999996</v>
      </c>
      <c r="I86" s="21" t="s">
        <v>56</v>
      </c>
      <c r="J86" s="34">
        <v>4.4000000000000004</v>
      </c>
      <c r="K86" s="15" t="s">
        <v>56</v>
      </c>
      <c r="L86" s="35">
        <v>6.1</v>
      </c>
      <c r="M86" s="15" t="s">
        <v>56</v>
      </c>
      <c r="N86" s="35">
        <v>4.9000000000000004</v>
      </c>
      <c r="O86" s="15" t="s">
        <v>56</v>
      </c>
      <c r="P86" s="35">
        <v>4.7</v>
      </c>
      <c r="R86" s="35">
        <v>5.7</v>
      </c>
      <c r="S86" s="15" t="s">
        <v>56</v>
      </c>
      <c r="T86" s="49">
        <v>6.24</v>
      </c>
      <c r="U86" s="15" t="s">
        <v>56</v>
      </c>
      <c r="V86" s="34">
        <v>7.41</v>
      </c>
      <c r="W86" s="15" t="s">
        <v>56</v>
      </c>
      <c r="X86" s="49">
        <v>5.7</v>
      </c>
      <c r="Y86" s="15" t="s">
        <v>56</v>
      </c>
      <c r="Z86" s="58">
        <v>12.6</v>
      </c>
      <c r="AA86" s="69" t="s">
        <v>60</v>
      </c>
    </row>
    <row r="87" spans="1:27" ht="15.75" customHeight="1">
      <c r="A87" s="21">
        <v>83</v>
      </c>
      <c r="B87" s="21">
        <v>4.5999999999999996</v>
      </c>
      <c r="C87" s="21">
        <v>4.4000000000000004</v>
      </c>
      <c r="D87" s="21">
        <v>3.5</v>
      </c>
      <c r="E87" s="21"/>
      <c r="F87">
        <v>4.5</v>
      </c>
      <c r="H87">
        <v>4.4000000000000004</v>
      </c>
      <c r="I87" s="21" t="s">
        <v>56</v>
      </c>
      <c r="J87" s="34">
        <v>4.5999999999999996</v>
      </c>
      <c r="K87" s="15" t="s">
        <v>56</v>
      </c>
      <c r="L87" s="35">
        <v>5.4</v>
      </c>
      <c r="M87" s="15" t="s">
        <v>56</v>
      </c>
      <c r="N87" s="35">
        <v>5</v>
      </c>
      <c r="O87" s="15" t="s">
        <v>56</v>
      </c>
      <c r="P87" s="35">
        <v>5</v>
      </c>
      <c r="R87" s="35">
        <v>5.0999999999999996</v>
      </c>
      <c r="S87" s="15" t="s">
        <v>56</v>
      </c>
      <c r="T87" s="49">
        <v>7.71</v>
      </c>
      <c r="U87" s="15" t="s">
        <v>56</v>
      </c>
      <c r="V87" s="34">
        <v>6.86</v>
      </c>
      <c r="W87" s="15" t="s">
        <v>56</v>
      </c>
      <c r="X87" s="49">
        <v>6.6</v>
      </c>
      <c r="Y87" s="15" t="s">
        <v>56</v>
      </c>
      <c r="Z87" s="49">
        <v>8.8000000000000007</v>
      </c>
      <c r="AA87" s="69" t="s">
        <v>56</v>
      </c>
    </row>
    <row r="88" spans="1:27" ht="15.75" customHeight="1">
      <c r="A88" s="21">
        <v>84</v>
      </c>
      <c r="B88" s="21">
        <v>4.5</v>
      </c>
      <c r="C88" s="21">
        <v>4.0999999999999996</v>
      </c>
      <c r="D88" s="21">
        <v>3.6</v>
      </c>
      <c r="E88" s="21"/>
      <c r="F88">
        <v>4.4000000000000004</v>
      </c>
      <c r="H88">
        <v>4.4000000000000004</v>
      </c>
      <c r="I88" s="21" t="s">
        <v>56</v>
      </c>
      <c r="J88" s="34">
        <v>4.8</v>
      </c>
      <c r="K88" s="15" t="s">
        <v>56</v>
      </c>
      <c r="L88" s="35">
        <v>5.5</v>
      </c>
      <c r="M88" s="15" t="s">
        <v>56</v>
      </c>
      <c r="N88" s="35">
        <v>5.5</v>
      </c>
      <c r="O88" s="15" t="s">
        <v>56</v>
      </c>
      <c r="P88" s="35">
        <v>4.9000000000000004</v>
      </c>
      <c r="R88" s="35">
        <v>5.3</v>
      </c>
      <c r="S88" s="15" t="s">
        <v>56</v>
      </c>
      <c r="T88" s="49">
        <v>5.99</v>
      </c>
      <c r="U88" s="15" t="s">
        <v>56</v>
      </c>
      <c r="V88" s="34">
        <v>7.17</v>
      </c>
      <c r="W88" s="15" t="s">
        <v>56</v>
      </c>
      <c r="X88" s="49">
        <v>6.2</v>
      </c>
      <c r="Y88" s="15" t="s">
        <v>56</v>
      </c>
      <c r="Z88" s="56">
        <v>11.6</v>
      </c>
      <c r="AA88" s="69" t="s">
        <v>58</v>
      </c>
    </row>
    <row r="89" spans="1:27" ht="15.75" customHeight="1">
      <c r="A89" s="21">
        <v>85</v>
      </c>
      <c r="B89" s="21">
        <v>4.5</v>
      </c>
      <c r="C89" s="21">
        <v>5</v>
      </c>
      <c r="D89" s="21">
        <v>3.6</v>
      </c>
      <c r="E89" s="21"/>
      <c r="F89">
        <v>4.0999999999999996</v>
      </c>
      <c r="H89">
        <v>4.5999999999999996</v>
      </c>
      <c r="I89" s="21" t="s">
        <v>56</v>
      </c>
      <c r="J89" s="34">
        <v>4.5999999999999996</v>
      </c>
      <c r="K89" s="15" t="s">
        <v>56</v>
      </c>
      <c r="L89" s="35">
        <v>6</v>
      </c>
      <c r="M89" s="15" t="s">
        <v>56</v>
      </c>
      <c r="N89" s="35">
        <v>5</v>
      </c>
      <c r="O89" s="15" t="s">
        <v>56</v>
      </c>
      <c r="P89" s="35">
        <v>4.5999999999999996</v>
      </c>
      <c r="R89" s="35">
        <v>5.7</v>
      </c>
      <c r="S89" s="15" t="s">
        <v>56</v>
      </c>
      <c r="T89" s="49">
        <v>5.9</v>
      </c>
      <c r="U89" s="15" t="s">
        <v>56</v>
      </c>
      <c r="V89" s="34">
        <v>7.83</v>
      </c>
      <c r="W89" s="15" t="s">
        <v>56</v>
      </c>
      <c r="X89" s="49">
        <v>6.2</v>
      </c>
      <c r="Y89" s="15" t="s">
        <v>56</v>
      </c>
      <c r="Z89" s="56">
        <v>11</v>
      </c>
      <c r="AA89" s="69" t="s">
        <v>58</v>
      </c>
    </row>
    <row r="90" spans="1:27" ht="15.75" customHeight="1">
      <c r="A90" s="21">
        <v>86</v>
      </c>
      <c r="B90" s="21">
        <v>4.3</v>
      </c>
      <c r="C90" s="21">
        <v>4.5</v>
      </c>
      <c r="D90" s="21">
        <v>3.8</v>
      </c>
      <c r="E90" s="21"/>
      <c r="F90">
        <v>4</v>
      </c>
      <c r="H90">
        <v>4.5</v>
      </c>
      <c r="I90" s="21" t="s">
        <v>56</v>
      </c>
      <c r="J90" s="34">
        <v>5</v>
      </c>
      <c r="K90" s="15" t="s">
        <v>56</v>
      </c>
      <c r="L90" s="35">
        <v>5.6</v>
      </c>
      <c r="M90" s="15" t="s">
        <v>56</v>
      </c>
      <c r="N90" s="35">
        <v>5.8</v>
      </c>
      <c r="O90" s="15" t="s">
        <v>56</v>
      </c>
      <c r="P90" s="35">
        <v>4.5999999999999996</v>
      </c>
      <c r="R90" s="35">
        <v>5.2</v>
      </c>
      <c r="S90" s="15" t="s">
        <v>56</v>
      </c>
      <c r="T90" s="49">
        <v>5.8</v>
      </c>
      <c r="U90" s="15" t="s">
        <v>56</v>
      </c>
      <c r="V90" s="52">
        <v>9.0299999999999994</v>
      </c>
      <c r="W90" s="15" t="s">
        <v>58</v>
      </c>
      <c r="X90" s="49">
        <v>7.8</v>
      </c>
      <c r="Y90" s="15" t="s">
        <v>56</v>
      </c>
      <c r="Z90" s="49">
        <v>8</v>
      </c>
      <c r="AA90" s="69" t="s">
        <v>56</v>
      </c>
    </row>
    <row r="91" spans="1:27" ht="15.75" customHeight="1">
      <c r="A91" s="21">
        <v>87</v>
      </c>
      <c r="B91" s="21">
        <v>4.5</v>
      </c>
      <c r="C91" s="21">
        <v>4.4000000000000004</v>
      </c>
      <c r="D91" s="21">
        <v>3.2</v>
      </c>
      <c r="E91" s="21"/>
      <c r="F91">
        <v>4.4000000000000004</v>
      </c>
      <c r="H91">
        <v>4.5</v>
      </c>
      <c r="I91" s="21" t="s">
        <v>56</v>
      </c>
      <c r="J91" s="34">
        <v>5</v>
      </c>
      <c r="K91" s="15" t="s">
        <v>56</v>
      </c>
      <c r="L91" s="35">
        <v>6.4</v>
      </c>
      <c r="M91" s="15" t="s">
        <v>56</v>
      </c>
      <c r="N91" s="35">
        <v>5.5</v>
      </c>
      <c r="O91" s="15" t="s">
        <v>56</v>
      </c>
      <c r="P91" s="35">
        <v>4.5</v>
      </c>
      <c r="R91" s="35">
        <v>6</v>
      </c>
      <c r="S91" s="15" t="s">
        <v>56</v>
      </c>
      <c r="T91" s="49">
        <v>6.16</v>
      </c>
      <c r="U91" s="15" t="s">
        <v>56</v>
      </c>
      <c r="V91" s="53">
        <v>9999</v>
      </c>
      <c r="W91" s="15" t="s">
        <v>60</v>
      </c>
      <c r="X91" s="56">
        <v>12</v>
      </c>
      <c r="Y91" s="15" t="s">
        <v>58</v>
      </c>
      <c r="Z91" s="56">
        <v>11.1</v>
      </c>
      <c r="AA91" s="69" t="s">
        <v>58</v>
      </c>
    </row>
    <row r="92" spans="1:27" ht="15.75" customHeight="1">
      <c r="A92" s="21">
        <v>88</v>
      </c>
      <c r="B92" s="21">
        <v>4.7</v>
      </c>
      <c r="C92" s="21">
        <v>4.4000000000000004</v>
      </c>
      <c r="D92" s="21">
        <v>3.9</v>
      </c>
      <c r="E92" s="21"/>
      <c r="F92">
        <v>4.9000000000000004</v>
      </c>
      <c r="H92">
        <v>4.5999999999999996</v>
      </c>
      <c r="I92" s="21" t="s">
        <v>56</v>
      </c>
      <c r="J92" s="34">
        <v>5.8</v>
      </c>
      <c r="K92" s="15" t="s">
        <v>56</v>
      </c>
      <c r="L92" s="35">
        <v>6</v>
      </c>
      <c r="M92" s="15" t="s">
        <v>56</v>
      </c>
      <c r="N92" s="35">
        <v>5.6</v>
      </c>
      <c r="O92" s="15" t="s">
        <v>56</v>
      </c>
      <c r="P92" s="35">
        <v>4.7</v>
      </c>
      <c r="R92" s="35">
        <v>5.8</v>
      </c>
      <c r="S92" s="15" t="s">
        <v>56</v>
      </c>
      <c r="T92" s="49">
        <v>5.24</v>
      </c>
      <c r="U92" s="15" t="s">
        <v>56</v>
      </c>
      <c r="V92" s="34">
        <v>7.36</v>
      </c>
      <c r="W92" s="15" t="s">
        <v>56</v>
      </c>
      <c r="X92" s="49">
        <v>8.1</v>
      </c>
      <c r="Y92" s="15" t="s">
        <v>56</v>
      </c>
      <c r="Z92" s="58">
        <v>14.4</v>
      </c>
      <c r="AA92" s="69" t="s">
        <v>60</v>
      </c>
    </row>
    <row r="93" spans="1:27" ht="15.75" customHeight="1">
      <c r="A93" s="21">
        <v>89</v>
      </c>
      <c r="B93" s="21">
        <v>4.5999999999999996</v>
      </c>
      <c r="C93" s="21">
        <v>4.5</v>
      </c>
      <c r="D93" s="21">
        <v>3.9</v>
      </c>
      <c r="E93" s="21"/>
      <c r="F93">
        <v>4.5999999999999996</v>
      </c>
      <c r="H93">
        <v>4.5999999999999996</v>
      </c>
      <c r="I93" s="21" t="s">
        <v>56</v>
      </c>
      <c r="J93" s="34">
        <v>5.6</v>
      </c>
      <c r="K93" s="15" t="s">
        <v>56</v>
      </c>
      <c r="L93" s="35">
        <v>6.4</v>
      </c>
      <c r="M93" s="15" t="s">
        <v>56</v>
      </c>
      <c r="N93" s="35">
        <v>5.4</v>
      </c>
      <c r="O93" s="15" t="s">
        <v>56</v>
      </c>
      <c r="P93" s="35">
        <v>4.7</v>
      </c>
      <c r="R93" s="35">
        <v>5.8</v>
      </c>
      <c r="S93" s="15" t="s">
        <v>56</v>
      </c>
      <c r="T93" s="49">
        <v>5.72</v>
      </c>
      <c r="U93" s="15" t="s">
        <v>56</v>
      </c>
      <c r="V93" s="34">
        <v>6.74</v>
      </c>
      <c r="W93" s="15" t="s">
        <v>56</v>
      </c>
      <c r="X93" s="56">
        <v>10.9</v>
      </c>
      <c r="Y93" s="15" t="s">
        <v>107</v>
      </c>
      <c r="Z93" s="56">
        <v>10.5</v>
      </c>
      <c r="AA93" s="69" t="s">
        <v>58</v>
      </c>
    </row>
    <row r="94" spans="1:27" ht="15.75" customHeight="1">
      <c r="A94" s="21">
        <v>90</v>
      </c>
      <c r="B94" s="21">
        <v>4.8</v>
      </c>
      <c r="C94" s="21">
        <v>4.4000000000000004</v>
      </c>
      <c r="D94" s="21">
        <v>3.7</v>
      </c>
      <c r="E94" s="21"/>
      <c r="F94">
        <v>4.5999999999999996</v>
      </c>
      <c r="H94">
        <v>4.8</v>
      </c>
      <c r="I94" s="21" t="s">
        <v>56</v>
      </c>
      <c r="J94" s="34">
        <v>5.3</v>
      </c>
      <c r="K94" s="15" t="s">
        <v>56</v>
      </c>
      <c r="L94" s="35">
        <v>6.1</v>
      </c>
      <c r="M94" s="15" t="s">
        <v>56</v>
      </c>
      <c r="N94" s="35">
        <v>5.7</v>
      </c>
      <c r="O94" s="15" t="s">
        <v>56</v>
      </c>
      <c r="P94" s="35">
        <v>4.8</v>
      </c>
      <c r="R94" s="35">
        <v>5.8</v>
      </c>
      <c r="S94" s="15" t="s">
        <v>56</v>
      </c>
      <c r="T94" s="49">
        <v>5.49</v>
      </c>
      <c r="U94" s="15" t="s">
        <v>56</v>
      </c>
      <c r="V94" s="34">
        <v>7.31</v>
      </c>
      <c r="W94" s="15" t="s">
        <v>56</v>
      </c>
      <c r="X94" s="56">
        <v>9.4</v>
      </c>
      <c r="Y94" s="15" t="s">
        <v>107</v>
      </c>
      <c r="Z94" s="49">
        <v>7.2</v>
      </c>
      <c r="AA94" s="69" t="s">
        <v>56</v>
      </c>
    </row>
    <row r="95" spans="1:27" ht="15.75" customHeight="1">
      <c r="A95" s="21">
        <v>91</v>
      </c>
      <c r="B95" s="21">
        <v>5.3</v>
      </c>
      <c r="C95" s="21">
        <v>4.3</v>
      </c>
      <c r="D95" s="21">
        <v>3.8</v>
      </c>
      <c r="E95" s="21"/>
      <c r="F95">
        <v>4.7</v>
      </c>
      <c r="H95">
        <v>5.6</v>
      </c>
      <c r="I95" s="21" t="s">
        <v>56</v>
      </c>
      <c r="J95" s="34">
        <v>5.2</v>
      </c>
      <c r="K95" s="15" t="s">
        <v>56</v>
      </c>
      <c r="L95" s="35">
        <v>6</v>
      </c>
      <c r="M95" s="15" t="s">
        <v>56</v>
      </c>
      <c r="N95" s="35">
        <v>5.7</v>
      </c>
      <c r="O95" s="15" t="s">
        <v>56</v>
      </c>
      <c r="P95" s="35">
        <v>4.8</v>
      </c>
      <c r="R95" s="35">
        <v>5.4</v>
      </c>
      <c r="S95" s="15" t="s">
        <v>56</v>
      </c>
      <c r="T95" s="49">
        <v>5.95</v>
      </c>
      <c r="U95" s="15" t="s">
        <v>56</v>
      </c>
      <c r="V95" s="34">
        <v>8.8699999999999992</v>
      </c>
      <c r="W95" s="15" t="s">
        <v>56</v>
      </c>
      <c r="X95" s="49">
        <v>7.2</v>
      </c>
      <c r="Y95" s="15" t="s">
        <v>56</v>
      </c>
      <c r="Z95" s="49">
        <v>6.8</v>
      </c>
      <c r="AA95" s="69" t="s">
        <v>56</v>
      </c>
    </row>
    <row r="96" spans="1:27" ht="15.75" customHeight="1">
      <c r="A96" s="21">
        <v>92</v>
      </c>
      <c r="B96" s="21">
        <v>4.7</v>
      </c>
      <c r="C96" s="21">
        <v>4.4000000000000004</v>
      </c>
      <c r="D96" s="21">
        <v>4</v>
      </c>
      <c r="E96" s="21"/>
      <c r="F96">
        <v>5.3</v>
      </c>
      <c r="H96">
        <v>4.9000000000000004</v>
      </c>
      <c r="I96" s="21" t="s">
        <v>56</v>
      </c>
      <c r="J96" s="34">
        <v>5.2</v>
      </c>
      <c r="K96" s="15" t="s">
        <v>56</v>
      </c>
      <c r="L96" s="35">
        <v>6.2</v>
      </c>
      <c r="M96" s="15" t="s">
        <v>56</v>
      </c>
      <c r="N96" s="35">
        <v>6.1</v>
      </c>
      <c r="O96" s="15" t="s">
        <v>56</v>
      </c>
      <c r="P96" s="35">
        <v>4.5999999999999996</v>
      </c>
      <c r="R96" s="35">
        <v>5.9</v>
      </c>
      <c r="S96" s="15" t="s">
        <v>56</v>
      </c>
      <c r="T96" s="49">
        <v>5.87</v>
      </c>
      <c r="U96" s="15" t="s">
        <v>56</v>
      </c>
      <c r="V96" s="53">
        <v>13.49</v>
      </c>
      <c r="W96" s="15" t="s">
        <v>60</v>
      </c>
      <c r="X96" s="56">
        <v>9.8000000000000007</v>
      </c>
      <c r="Y96" s="15" t="s">
        <v>58</v>
      </c>
      <c r="Z96" s="56">
        <v>9.1999999999999993</v>
      </c>
      <c r="AA96" s="69" t="s">
        <v>58</v>
      </c>
    </row>
    <row r="97" spans="1:27" ht="15.75" customHeight="1">
      <c r="A97" s="21">
        <v>93</v>
      </c>
      <c r="B97" s="21">
        <v>4.5</v>
      </c>
      <c r="C97" s="21">
        <v>4.5</v>
      </c>
      <c r="D97" s="21">
        <v>4.5</v>
      </c>
      <c r="E97" s="21"/>
      <c r="F97">
        <v>4.9000000000000004</v>
      </c>
      <c r="H97">
        <v>4.5</v>
      </c>
      <c r="I97" s="21" t="s">
        <v>56</v>
      </c>
      <c r="J97" s="34">
        <v>4.8</v>
      </c>
      <c r="K97" s="15" t="s">
        <v>56</v>
      </c>
      <c r="L97" s="35">
        <v>6.6</v>
      </c>
      <c r="M97" s="15" t="s">
        <v>56</v>
      </c>
      <c r="N97" s="35">
        <v>5.5</v>
      </c>
      <c r="O97" s="15" t="s">
        <v>56</v>
      </c>
      <c r="P97" s="35">
        <v>4.7</v>
      </c>
      <c r="R97" s="35">
        <v>6.6</v>
      </c>
      <c r="S97" s="15" t="s">
        <v>56</v>
      </c>
      <c r="T97" s="49">
        <v>6.58</v>
      </c>
      <c r="U97" s="15" t="s">
        <v>56</v>
      </c>
      <c r="V97" s="52">
        <v>10.02</v>
      </c>
      <c r="W97" s="15" t="s">
        <v>58</v>
      </c>
      <c r="X97" s="58">
        <v>13</v>
      </c>
      <c r="Y97" s="15" t="s">
        <v>60</v>
      </c>
      <c r="Z97" s="58">
        <v>176.3</v>
      </c>
      <c r="AA97" s="69" t="s">
        <v>60</v>
      </c>
    </row>
    <row r="98" spans="1:27" ht="15.75" customHeight="1">
      <c r="A98" s="21">
        <v>94</v>
      </c>
      <c r="B98" s="21">
        <v>5.0999999999999996</v>
      </c>
      <c r="C98" s="21">
        <v>4.2</v>
      </c>
      <c r="D98" s="21">
        <v>3.8</v>
      </c>
      <c r="E98" s="21"/>
      <c r="F98">
        <v>4.3</v>
      </c>
      <c r="H98">
        <v>4.5999999999999996</v>
      </c>
      <c r="I98" s="21" t="s">
        <v>56</v>
      </c>
      <c r="J98" s="34">
        <v>4.9000000000000004</v>
      </c>
      <c r="K98" s="15" t="s">
        <v>56</v>
      </c>
      <c r="L98" s="35">
        <v>6.1</v>
      </c>
      <c r="M98" s="15" t="s">
        <v>56</v>
      </c>
      <c r="N98" s="35">
        <v>6.1</v>
      </c>
      <c r="O98" s="15" t="s">
        <v>56</v>
      </c>
      <c r="P98" s="35">
        <v>4.5999999999999996</v>
      </c>
      <c r="R98" s="35">
        <v>5.7</v>
      </c>
      <c r="S98" s="15" t="s">
        <v>56</v>
      </c>
      <c r="T98" s="49">
        <v>5.75</v>
      </c>
      <c r="U98" s="15" t="s">
        <v>56</v>
      </c>
      <c r="V98" s="34">
        <v>7.83</v>
      </c>
      <c r="W98" s="15" t="s">
        <v>56</v>
      </c>
      <c r="X98" s="49">
        <v>9</v>
      </c>
      <c r="Y98" s="15" t="s">
        <v>56</v>
      </c>
      <c r="Z98" s="49">
        <v>9</v>
      </c>
      <c r="AA98" s="69" t="s">
        <v>56</v>
      </c>
    </row>
    <row r="99" spans="1:27" ht="15.75" customHeight="1">
      <c r="A99" s="21">
        <v>95</v>
      </c>
      <c r="B99" s="21">
        <v>4.2</v>
      </c>
      <c r="C99" s="21">
        <v>4.0999999999999996</v>
      </c>
      <c r="D99" s="21">
        <v>3.7</v>
      </c>
      <c r="E99" s="21"/>
      <c r="F99">
        <v>4.4000000000000004</v>
      </c>
      <c r="H99">
        <v>4.2</v>
      </c>
      <c r="I99" s="21" t="s">
        <v>56</v>
      </c>
      <c r="J99" s="34">
        <v>5.2</v>
      </c>
      <c r="K99" s="15" t="s">
        <v>56</v>
      </c>
      <c r="L99" s="35">
        <v>6</v>
      </c>
      <c r="M99" s="15" t="s">
        <v>56</v>
      </c>
      <c r="N99" s="35">
        <v>6</v>
      </c>
      <c r="O99" s="15" t="s">
        <v>56</v>
      </c>
      <c r="P99" s="35">
        <v>4.9000000000000004</v>
      </c>
      <c r="R99" s="35">
        <v>5.7</v>
      </c>
      <c r="S99" s="15" t="s">
        <v>56</v>
      </c>
      <c r="T99" s="49">
        <v>5.82</v>
      </c>
      <c r="U99" s="15" t="s">
        <v>56</v>
      </c>
      <c r="V99" s="52">
        <v>9.36</v>
      </c>
      <c r="W99" s="15" t="s">
        <v>58</v>
      </c>
      <c r="X99" s="49">
        <v>7.3</v>
      </c>
      <c r="Y99" s="15" t="s">
        <v>56</v>
      </c>
      <c r="Z99" s="49">
        <v>7.8</v>
      </c>
      <c r="AA99" s="69" t="s">
        <v>56</v>
      </c>
    </row>
    <row r="100" spans="1:27" ht="15.75" customHeight="1">
      <c r="A100" s="21">
        <v>96</v>
      </c>
      <c r="B100" s="21">
        <v>4.7</v>
      </c>
      <c r="C100" s="21">
        <v>4.0999999999999996</v>
      </c>
      <c r="D100" s="21">
        <v>3.8</v>
      </c>
      <c r="E100" s="21"/>
      <c r="F100">
        <v>4.9000000000000004</v>
      </c>
      <c r="H100">
        <v>4.4000000000000004</v>
      </c>
      <c r="I100" s="21" t="s">
        <v>56</v>
      </c>
      <c r="J100" s="34">
        <v>4.7</v>
      </c>
      <c r="K100" s="15" t="s">
        <v>56</v>
      </c>
      <c r="L100" s="35">
        <v>6.7</v>
      </c>
      <c r="M100" s="15" t="s">
        <v>56</v>
      </c>
      <c r="N100" s="35">
        <v>5.2</v>
      </c>
      <c r="O100" s="15" t="s">
        <v>56</v>
      </c>
      <c r="P100" s="35">
        <v>5.0999999999999996</v>
      </c>
      <c r="R100" s="35">
        <v>6.2</v>
      </c>
      <c r="S100" s="15" t="s">
        <v>56</v>
      </c>
      <c r="T100" s="49">
        <v>5.75</v>
      </c>
      <c r="U100" s="15" t="s">
        <v>56</v>
      </c>
      <c r="V100" s="52">
        <v>11.09</v>
      </c>
      <c r="W100" s="15" t="s">
        <v>58</v>
      </c>
      <c r="X100" s="49">
        <v>7.7</v>
      </c>
      <c r="Y100" s="15" t="s">
        <v>56</v>
      </c>
      <c r="Z100" s="49">
        <v>8.1</v>
      </c>
      <c r="AA100" s="69" t="s">
        <v>56</v>
      </c>
    </row>
    <row r="101" spans="1:27" ht="15.75" customHeight="1">
      <c r="A101" s="21">
        <v>97</v>
      </c>
      <c r="B101" s="21">
        <v>4.8</v>
      </c>
      <c r="C101" s="21">
        <v>4.4000000000000004</v>
      </c>
      <c r="D101" s="21">
        <v>4</v>
      </c>
      <c r="E101" s="21"/>
      <c r="F101">
        <v>4.5999999999999996</v>
      </c>
      <c r="H101">
        <v>4.3</v>
      </c>
      <c r="I101" s="21" t="s">
        <v>56</v>
      </c>
      <c r="J101" s="34">
        <v>4.9000000000000004</v>
      </c>
      <c r="K101" s="15" t="s">
        <v>56</v>
      </c>
      <c r="L101" s="35">
        <v>5.8</v>
      </c>
      <c r="M101" s="15" t="s">
        <v>56</v>
      </c>
      <c r="N101" s="35">
        <v>5.5</v>
      </c>
      <c r="O101" s="15" t="s">
        <v>56</v>
      </c>
      <c r="P101" s="35">
        <v>5.0999999999999996</v>
      </c>
      <c r="R101" s="35">
        <v>5.5</v>
      </c>
      <c r="S101" s="15" t="s">
        <v>56</v>
      </c>
      <c r="T101" s="49">
        <v>5.82</v>
      </c>
      <c r="U101" s="15" t="s">
        <v>56</v>
      </c>
      <c r="V101" s="34">
        <v>7.85</v>
      </c>
      <c r="W101" s="15" t="s">
        <v>56</v>
      </c>
      <c r="X101" s="49">
        <v>7.4</v>
      </c>
      <c r="Y101" s="15" t="s">
        <v>56</v>
      </c>
      <c r="Z101" s="49">
        <v>7.7</v>
      </c>
      <c r="AA101" s="69" t="s">
        <v>56</v>
      </c>
    </row>
    <row r="102" spans="1:27" ht="15.75" customHeight="1">
      <c r="A102" s="21">
        <v>98</v>
      </c>
      <c r="B102" s="21">
        <v>4.5</v>
      </c>
      <c r="C102" s="21">
        <v>3.9</v>
      </c>
      <c r="D102" s="21">
        <v>4</v>
      </c>
      <c r="E102" s="21"/>
      <c r="F102">
        <v>4.0999999999999996</v>
      </c>
      <c r="H102">
        <v>4.2</v>
      </c>
      <c r="I102" s="21" t="s">
        <v>56</v>
      </c>
      <c r="J102" s="34">
        <v>5.4</v>
      </c>
      <c r="K102" s="15" t="s">
        <v>56</v>
      </c>
      <c r="L102" s="35">
        <v>5.9</v>
      </c>
      <c r="M102" s="15" t="s">
        <v>56</v>
      </c>
      <c r="N102" s="35">
        <v>5.8</v>
      </c>
      <c r="O102" s="15" t="s">
        <v>56</v>
      </c>
      <c r="P102" s="35">
        <v>5.0999999999999996</v>
      </c>
      <c r="R102" s="35">
        <v>5.8</v>
      </c>
      <c r="S102" s="15" t="s">
        <v>56</v>
      </c>
      <c r="T102" s="49">
        <v>5.54</v>
      </c>
      <c r="U102" s="15" t="s">
        <v>56</v>
      </c>
      <c r="V102" s="52">
        <v>9.48</v>
      </c>
      <c r="W102" s="15" t="s">
        <v>58</v>
      </c>
      <c r="X102" s="58">
        <v>142.6</v>
      </c>
      <c r="Y102" s="15" t="s">
        <v>60</v>
      </c>
      <c r="Z102" s="49">
        <v>7.5</v>
      </c>
      <c r="AA102" s="69" t="s">
        <v>56</v>
      </c>
    </row>
    <row r="103" spans="1:27" ht="15.75" customHeight="1">
      <c r="A103" s="21">
        <v>99</v>
      </c>
      <c r="B103" s="21">
        <v>4.5</v>
      </c>
      <c r="C103" s="21">
        <v>4.5999999999999996</v>
      </c>
      <c r="D103" s="21">
        <v>3.8</v>
      </c>
      <c r="E103" s="21"/>
      <c r="F103">
        <v>4.5999999999999996</v>
      </c>
      <c r="H103">
        <v>4.5</v>
      </c>
      <c r="I103" s="21" t="s">
        <v>56</v>
      </c>
      <c r="J103" s="34">
        <v>5.2</v>
      </c>
      <c r="K103" s="15" t="s">
        <v>56</v>
      </c>
      <c r="L103" s="35">
        <v>6.3</v>
      </c>
      <c r="M103" s="15" t="s">
        <v>56</v>
      </c>
      <c r="N103" s="35">
        <v>5.6</v>
      </c>
      <c r="O103" s="15" t="s">
        <v>56</v>
      </c>
      <c r="P103" s="35">
        <v>4.8</v>
      </c>
      <c r="R103" s="35">
        <v>6.3</v>
      </c>
      <c r="S103" s="15" t="s">
        <v>56</v>
      </c>
      <c r="T103" s="58">
        <v>15.21</v>
      </c>
      <c r="U103" s="15" t="s">
        <v>60</v>
      </c>
      <c r="V103" s="34">
        <v>7.71</v>
      </c>
      <c r="W103" s="15" t="s">
        <v>56</v>
      </c>
      <c r="X103" s="49">
        <v>8</v>
      </c>
      <c r="Y103" s="15" t="s">
        <v>56</v>
      </c>
      <c r="Z103" s="49">
        <v>8.6999999999999993</v>
      </c>
      <c r="AA103" s="69" t="s">
        <v>56</v>
      </c>
    </row>
    <row r="104" spans="1:27" ht="15.75" customHeight="1">
      <c r="A104" s="21">
        <v>100</v>
      </c>
      <c r="B104" s="21">
        <v>4.5</v>
      </c>
      <c r="C104" s="21">
        <v>4.0999999999999996</v>
      </c>
      <c r="D104" s="21">
        <v>3.8</v>
      </c>
      <c r="E104" s="21"/>
      <c r="F104">
        <v>4.3</v>
      </c>
      <c r="H104">
        <v>4.5999999999999996</v>
      </c>
      <c r="I104" s="21" t="s">
        <v>56</v>
      </c>
      <c r="J104" s="34">
        <v>4.5999999999999996</v>
      </c>
      <c r="K104" s="15" t="s">
        <v>56</v>
      </c>
      <c r="L104" s="35">
        <v>6.5</v>
      </c>
      <c r="M104" s="15" t="s">
        <v>56</v>
      </c>
      <c r="N104" s="35">
        <v>5.2</v>
      </c>
      <c r="O104" s="15" t="s">
        <v>56</v>
      </c>
      <c r="P104" s="35">
        <v>4.5999999999999996</v>
      </c>
      <c r="R104" s="35">
        <v>6</v>
      </c>
      <c r="S104" s="15" t="s">
        <v>56</v>
      </c>
      <c r="T104" s="49">
        <v>5.62</v>
      </c>
      <c r="U104" s="15" t="s">
        <v>56</v>
      </c>
      <c r="V104" s="34">
        <v>8.15</v>
      </c>
      <c r="W104" s="15" t="s">
        <v>56</v>
      </c>
      <c r="X104" s="49">
        <v>6.7</v>
      </c>
      <c r="Y104" s="15" t="s">
        <v>56</v>
      </c>
      <c r="Z104" s="58">
        <v>21</v>
      </c>
      <c r="AA104" s="69" t="s">
        <v>60</v>
      </c>
    </row>
    <row r="105" spans="1:27" ht="15.75" customHeight="1">
      <c r="A105" s="27">
        <v>101</v>
      </c>
      <c r="B105" s="27">
        <v>10</v>
      </c>
      <c r="C105" s="23">
        <v>11.2</v>
      </c>
      <c r="D105" s="70"/>
      <c r="E105" s="23" t="s">
        <v>150</v>
      </c>
      <c r="F105" s="23">
        <v>10.6</v>
      </c>
      <c r="G105" s="39" t="s">
        <v>36</v>
      </c>
      <c r="H105">
        <v>4.5999999999999996</v>
      </c>
      <c r="I105" s="21" t="s">
        <v>56</v>
      </c>
      <c r="J105" s="34">
        <v>4.8</v>
      </c>
      <c r="K105" s="15" t="s">
        <v>56</v>
      </c>
      <c r="L105" s="35">
        <v>6.1</v>
      </c>
      <c r="M105" s="15" t="s">
        <v>56</v>
      </c>
      <c r="N105" s="35">
        <v>5.4</v>
      </c>
      <c r="O105" s="15" t="s">
        <v>56</v>
      </c>
      <c r="P105" s="35">
        <v>4.9000000000000004</v>
      </c>
      <c r="R105" s="35">
        <v>5.4</v>
      </c>
      <c r="S105" s="15" t="s">
        <v>56</v>
      </c>
      <c r="T105" s="49">
        <v>6.68</v>
      </c>
      <c r="U105" s="15" t="s">
        <v>56</v>
      </c>
      <c r="V105" s="34">
        <v>8.2799999999999994</v>
      </c>
      <c r="W105" s="15" t="s">
        <v>56</v>
      </c>
      <c r="X105" s="49">
        <v>7.3</v>
      </c>
      <c r="Y105" s="15" t="s">
        <v>56</v>
      </c>
      <c r="Z105" s="56">
        <v>10.1</v>
      </c>
      <c r="AA105" s="69" t="s">
        <v>58</v>
      </c>
    </row>
    <row r="106" spans="1:27" ht="15.75" customHeight="1">
      <c r="A106" s="21">
        <v>102</v>
      </c>
      <c r="B106" s="21">
        <v>4.3</v>
      </c>
      <c r="C106" s="21">
        <v>4.3</v>
      </c>
      <c r="D106" s="21">
        <v>4</v>
      </c>
      <c r="E106" s="21"/>
      <c r="F106">
        <v>4.5</v>
      </c>
      <c r="H106">
        <v>4.5</v>
      </c>
      <c r="I106" s="21" t="s">
        <v>56</v>
      </c>
      <c r="J106" s="34">
        <v>4.8</v>
      </c>
      <c r="K106" s="15" t="s">
        <v>56</v>
      </c>
      <c r="L106" s="35">
        <v>6</v>
      </c>
      <c r="M106" s="15" t="s">
        <v>56</v>
      </c>
      <c r="N106" s="35">
        <v>5.6</v>
      </c>
      <c r="O106" s="15" t="s">
        <v>56</v>
      </c>
      <c r="P106" s="35">
        <v>4.9000000000000004</v>
      </c>
      <c r="R106" s="35">
        <v>5.7</v>
      </c>
      <c r="S106" s="15" t="s">
        <v>56</v>
      </c>
      <c r="T106" s="49">
        <v>5.92</v>
      </c>
      <c r="U106" s="15" t="s">
        <v>56</v>
      </c>
      <c r="V106" s="53">
        <v>19.89</v>
      </c>
      <c r="W106" s="15" t="s">
        <v>60</v>
      </c>
      <c r="X106" s="49">
        <v>7.1</v>
      </c>
      <c r="Y106" s="15" t="s">
        <v>56</v>
      </c>
      <c r="Z106" s="49">
        <v>7.7</v>
      </c>
      <c r="AA106" s="69" t="s">
        <v>56</v>
      </c>
    </row>
    <row r="107" spans="1:27" ht="15.75" customHeight="1">
      <c r="A107" s="21">
        <v>103</v>
      </c>
      <c r="B107" s="21">
        <v>4.3</v>
      </c>
      <c r="C107" s="21">
        <v>4</v>
      </c>
      <c r="D107" s="21">
        <v>3.7</v>
      </c>
      <c r="E107" s="21"/>
      <c r="F107">
        <v>4.4000000000000004</v>
      </c>
      <c r="H107">
        <v>4.3</v>
      </c>
      <c r="I107" s="21" t="s">
        <v>56</v>
      </c>
      <c r="J107" s="34">
        <v>4.5999999999999996</v>
      </c>
      <c r="K107" s="15" t="s">
        <v>56</v>
      </c>
      <c r="L107" s="35">
        <v>6.2</v>
      </c>
      <c r="M107" s="15" t="s">
        <v>56</v>
      </c>
      <c r="N107" s="35">
        <v>5</v>
      </c>
      <c r="O107" s="15" t="s">
        <v>56</v>
      </c>
      <c r="P107" s="35">
        <v>5.0999999999999996</v>
      </c>
      <c r="R107" s="35">
        <v>6.1</v>
      </c>
      <c r="S107" s="15" t="s">
        <v>56</v>
      </c>
      <c r="T107" s="49">
        <v>5.94</v>
      </c>
      <c r="U107" s="15" t="s">
        <v>56</v>
      </c>
      <c r="V107" s="34">
        <v>7.41</v>
      </c>
      <c r="W107" s="15" t="s">
        <v>56</v>
      </c>
      <c r="X107" s="49">
        <v>6.7</v>
      </c>
      <c r="Y107" s="15" t="s">
        <v>56</v>
      </c>
      <c r="Z107" s="56">
        <v>11.3</v>
      </c>
      <c r="AA107" s="69" t="s">
        <v>58</v>
      </c>
    </row>
    <row r="108" spans="1:27" ht="15.75" customHeight="1">
      <c r="A108" s="21">
        <v>104</v>
      </c>
      <c r="B108" s="21">
        <v>4.0999999999999996</v>
      </c>
      <c r="C108" s="21">
        <v>3.9</v>
      </c>
      <c r="D108" s="21">
        <v>4</v>
      </c>
      <c r="E108" s="21"/>
      <c r="F108">
        <v>4.3</v>
      </c>
      <c r="H108">
        <v>4.3</v>
      </c>
      <c r="I108" s="21" t="s">
        <v>56</v>
      </c>
      <c r="J108" s="34">
        <v>5.0999999999999996</v>
      </c>
      <c r="K108" s="15" t="s">
        <v>56</v>
      </c>
      <c r="L108" s="35">
        <v>5.5</v>
      </c>
      <c r="M108" s="15" t="s">
        <v>56</v>
      </c>
      <c r="N108" s="35">
        <v>10.3</v>
      </c>
      <c r="O108" s="15" t="s">
        <v>56</v>
      </c>
      <c r="P108" s="35">
        <v>4.7</v>
      </c>
      <c r="R108" s="35">
        <v>5.3</v>
      </c>
      <c r="S108" s="15" t="s">
        <v>56</v>
      </c>
      <c r="T108" s="49">
        <v>6.2</v>
      </c>
      <c r="U108" s="15" t="s">
        <v>56</v>
      </c>
      <c r="V108" s="34">
        <v>5.49</v>
      </c>
      <c r="W108" s="15" t="s">
        <v>56</v>
      </c>
      <c r="X108" s="49">
        <v>8.4</v>
      </c>
      <c r="Y108" s="15" t="s">
        <v>56</v>
      </c>
      <c r="Z108" s="49">
        <v>7.3</v>
      </c>
      <c r="AA108" s="69" t="s">
        <v>56</v>
      </c>
    </row>
    <row r="109" spans="1:27" ht="15.75" customHeight="1">
      <c r="A109" s="21">
        <v>105</v>
      </c>
      <c r="B109" s="21">
        <v>4.2</v>
      </c>
      <c r="C109" s="21">
        <v>4.0999999999999996</v>
      </c>
      <c r="D109" s="21">
        <v>3.5</v>
      </c>
      <c r="E109" s="21"/>
      <c r="F109">
        <v>4.4000000000000004</v>
      </c>
      <c r="H109">
        <v>4.5</v>
      </c>
      <c r="I109" s="21" t="s">
        <v>56</v>
      </c>
      <c r="J109" s="34">
        <v>4.8</v>
      </c>
      <c r="K109" s="15" t="s">
        <v>56</v>
      </c>
      <c r="L109" s="35">
        <v>7.9</v>
      </c>
      <c r="M109" s="15" t="s">
        <v>56</v>
      </c>
      <c r="N109" s="35">
        <v>5.7</v>
      </c>
      <c r="O109" s="15" t="s">
        <v>56</v>
      </c>
      <c r="P109" s="35">
        <v>4.5</v>
      </c>
      <c r="R109" s="54">
        <v>11.4</v>
      </c>
      <c r="S109" s="15" t="s">
        <v>58</v>
      </c>
      <c r="T109" s="49">
        <v>6.03</v>
      </c>
      <c r="U109" s="15" t="s">
        <v>56</v>
      </c>
      <c r="V109" s="34">
        <v>8.8800000000000008</v>
      </c>
      <c r="W109" s="15" t="s">
        <v>56</v>
      </c>
      <c r="X109" s="49">
        <v>7.4</v>
      </c>
      <c r="Y109" s="15" t="s">
        <v>56</v>
      </c>
      <c r="Z109" s="49">
        <v>8.5</v>
      </c>
      <c r="AA109" s="69" t="s">
        <v>56</v>
      </c>
    </row>
    <row r="110" spans="1:27" ht="15.75" customHeight="1">
      <c r="A110" s="21">
        <v>106</v>
      </c>
      <c r="B110" s="21">
        <v>4.4000000000000004</v>
      </c>
      <c r="C110" s="21">
        <v>4.4000000000000004</v>
      </c>
      <c r="D110" s="21">
        <v>3.8</v>
      </c>
      <c r="E110" s="21"/>
      <c r="F110">
        <v>4.5999999999999996</v>
      </c>
      <c r="H110">
        <v>4.5</v>
      </c>
      <c r="I110" s="21" t="s">
        <v>56</v>
      </c>
      <c r="J110" s="34">
        <v>4.7</v>
      </c>
      <c r="K110" s="15" t="s">
        <v>56</v>
      </c>
      <c r="L110" s="35">
        <v>6.2</v>
      </c>
      <c r="M110" s="15" t="s">
        <v>56</v>
      </c>
      <c r="N110" s="35">
        <v>5.4</v>
      </c>
      <c r="O110" s="15" t="s">
        <v>56</v>
      </c>
      <c r="P110" s="35">
        <v>4.3</v>
      </c>
      <c r="R110" s="35">
        <v>5.9</v>
      </c>
      <c r="S110" s="15" t="s">
        <v>56</v>
      </c>
      <c r="T110" s="49">
        <v>5.47</v>
      </c>
      <c r="U110" s="15" t="s">
        <v>56</v>
      </c>
      <c r="V110" s="52">
        <v>10.57</v>
      </c>
      <c r="W110" s="15" t="s">
        <v>151</v>
      </c>
      <c r="X110" s="56">
        <v>10.8</v>
      </c>
      <c r="Y110" s="15" t="s">
        <v>58</v>
      </c>
      <c r="Z110" s="56">
        <v>11.3</v>
      </c>
      <c r="AA110" s="69" t="s">
        <v>58</v>
      </c>
    </row>
    <row r="111" spans="1:27" ht="15.75" customHeight="1">
      <c r="A111" s="21">
        <v>107</v>
      </c>
      <c r="B111" s="21">
        <v>4.4000000000000004</v>
      </c>
      <c r="C111" s="21">
        <v>4.4000000000000004</v>
      </c>
      <c r="D111" s="21">
        <v>3.8</v>
      </c>
      <c r="E111" s="21"/>
      <c r="F111">
        <v>4.5999999999999996</v>
      </c>
      <c r="H111">
        <v>4.7</v>
      </c>
      <c r="I111" s="21" t="s">
        <v>56</v>
      </c>
      <c r="J111" s="34">
        <v>4.7</v>
      </c>
      <c r="K111" s="15" t="s">
        <v>56</v>
      </c>
      <c r="L111" s="35">
        <v>5.9</v>
      </c>
      <c r="M111" s="15" t="s">
        <v>56</v>
      </c>
      <c r="N111" s="35">
        <v>5.2</v>
      </c>
      <c r="O111" s="15" t="s">
        <v>56</v>
      </c>
      <c r="P111" s="35">
        <v>4.7</v>
      </c>
      <c r="R111" s="35">
        <v>5.7</v>
      </c>
      <c r="S111" s="15" t="s">
        <v>56</v>
      </c>
      <c r="T111" s="49">
        <v>6.07</v>
      </c>
      <c r="U111" s="15" t="s">
        <v>56</v>
      </c>
      <c r="V111" s="34">
        <v>8.51</v>
      </c>
      <c r="W111" s="15" t="s">
        <v>56</v>
      </c>
      <c r="X111" s="49">
        <v>7.7</v>
      </c>
      <c r="Y111" s="15" t="s">
        <v>56</v>
      </c>
      <c r="Z111" s="56">
        <v>12</v>
      </c>
      <c r="AA111" s="69" t="s">
        <v>58</v>
      </c>
    </row>
    <row r="112" spans="1:27" ht="15.75" customHeight="1">
      <c r="A112" s="21">
        <v>108</v>
      </c>
      <c r="B112" s="21">
        <v>4.3</v>
      </c>
      <c r="C112" s="21">
        <v>4.5</v>
      </c>
      <c r="D112" s="21">
        <v>3.7</v>
      </c>
      <c r="E112" s="21"/>
      <c r="F112">
        <v>4.4000000000000004</v>
      </c>
      <c r="H112">
        <v>4.3</v>
      </c>
      <c r="I112" s="21" t="s">
        <v>56</v>
      </c>
      <c r="J112" s="34">
        <v>4.8</v>
      </c>
      <c r="K112" s="15" t="s">
        <v>56</v>
      </c>
      <c r="L112" s="35">
        <v>5.7</v>
      </c>
      <c r="M112" s="15" t="s">
        <v>56</v>
      </c>
      <c r="N112" s="35">
        <v>5.4</v>
      </c>
      <c r="O112" s="15" t="s">
        <v>56</v>
      </c>
      <c r="P112" s="35">
        <v>4.5999999999999996</v>
      </c>
      <c r="R112" s="35">
        <v>5.3</v>
      </c>
      <c r="S112" s="15" t="s">
        <v>56</v>
      </c>
      <c r="T112" s="49">
        <v>5.66</v>
      </c>
      <c r="U112" s="15" t="s">
        <v>56</v>
      </c>
      <c r="V112" s="52">
        <v>10.050000000000001</v>
      </c>
      <c r="W112" s="15" t="s">
        <v>58</v>
      </c>
      <c r="X112" s="56">
        <v>9.6999999999999993</v>
      </c>
      <c r="Y112" s="15" t="s">
        <v>58</v>
      </c>
      <c r="Z112" s="49">
        <v>8.1</v>
      </c>
      <c r="AA112" s="69" t="s">
        <v>56</v>
      </c>
    </row>
    <row r="113" spans="1:27" ht="15.75" customHeight="1">
      <c r="A113" s="21">
        <v>109</v>
      </c>
      <c r="B113" s="21">
        <v>4.4000000000000004</v>
      </c>
      <c r="C113" s="21">
        <v>4.4000000000000004</v>
      </c>
      <c r="D113" s="21">
        <v>3.6</v>
      </c>
      <c r="E113" s="21"/>
      <c r="F113">
        <v>4.7</v>
      </c>
      <c r="H113">
        <v>4.8</v>
      </c>
      <c r="I113" s="21" t="s">
        <v>56</v>
      </c>
      <c r="J113" s="34">
        <v>5.0999999999999996</v>
      </c>
      <c r="K113" s="15" t="s">
        <v>56</v>
      </c>
      <c r="L113" s="35">
        <v>6</v>
      </c>
      <c r="M113" s="15" t="s">
        <v>56</v>
      </c>
      <c r="N113" s="35">
        <v>5.8</v>
      </c>
      <c r="O113" s="15" t="s">
        <v>56</v>
      </c>
      <c r="P113" s="35">
        <v>4.8</v>
      </c>
      <c r="R113" s="35">
        <v>5.8</v>
      </c>
      <c r="S113" s="15" t="s">
        <v>56</v>
      </c>
      <c r="T113" s="49">
        <v>5.93</v>
      </c>
      <c r="U113" s="15" t="s">
        <v>56</v>
      </c>
      <c r="V113" s="34">
        <v>8.59</v>
      </c>
      <c r="W113" s="15" t="s">
        <v>56</v>
      </c>
      <c r="X113" s="56">
        <v>10.8</v>
      </c>
      <c r="Y113" s="15" t="s">
        <v>58</v>
      </c>
      <c r="Z113" s="56">
        <v>9.6999999999999993</v>
      </c>
      <c r="AA113" s="69" t="s">
        <v>58</v>
      </c>
    </row>
    <row r="114" spans="1:27" ht="15.75" customHeight="1">
      <c r="A114" s="21">
        <v>110</v>
      </c>
      <c r="B114" s="21">
        <v>4.3</v>
      </c>
      <c r="C114" s="21">
        <v>4.5</v>
      </c>
      <c r="D114" s="21">
        <v>4.0999999999999996</v>
      </c>
      <c r="E114" s="21"/>
      <c r="F114">
        <v>4.5</v>
      </c>
      <c r="H114">
        <v>4.3</v>
      </c>
      <c r="I114" s="21" t="s">
        <v>56</v>
      </c>
      <c r="J114" s="34">
        <v>4.5</v>
      </c>
      <c r="K114" s="15" t="s">
        <v>56</v>
      </c>
      <c r="L114" s="35">
        <v>6.3</v>
      </c>
      <c r="M114" s="15" t="s">
        <v>56</v>
      </c>
      <c r="N114" s="35">
        <v>5</v>
      </c>
      <c r="O114" s="15" t="s">
        <v>56</v>
      </c>
      <c r="P114" s="35">
        <v>4.7</v>
      </c>
      <c r="R114" s="35">
        <v>6.1</v>
      </c>
      <c r="S114" s="15" t="s">
        <v>56</v>
      </c>
      <c r="T114" s="49">
        <v>5.47</v>
      </c>
      <c r="U114" s="15" t="s">
        <v>56</v>
      </c>
      <c r="V114" s="34">
        <v>7.42</v>
      </c>
      <c r="W114" s="15" t="s">
        <v>56</v>
      </c>
      <c r="X114" s="49">
        <v>6.9</v>
      </c>
      <c r="Y114" s="15" t="s">
        <v>56</v>
      </c>
      <c r="Z114" s="49">
        <v>7.6</v>
      </c>
      <c r="AA114" s="69" t="s">
        <v>56</v>
      </c>
    </row>
    <row r="115" spans="1:27" ht="15.75" customHeight="1">
      <c r="A115" s="21">
        <v>111</v>
      </c>
      <c r="B115" s="21">
        <v>4.7</v>
      </c>
      <c r="C115" s="21">
        <v>4.7</v>
      </c>
      <c r="D115" s="21">
        <v>3.9</v>
      </c>
      <c r="E115" s="21"/>
      <c r="F115">
        <v>4.8</v>
      </c>
      <c r="H115">
        <v>4.5999999999999996</v>
      </c>
      <c r="I115" s="21" t="s">
        <v>56</v>
      </c>
      <c r="J115" s="34">
        <v>5</v>
      </c>
      <c r="K115" s="15" t="s">
        <v>56</v>
      </c>
      <c r="L115" s="35">
        <v>5.6</v>
      </c>
      <c r="M115" s="15" t="s">
        <v>56</v>
      </c>
      <c r="N115" s="35">
        <v>5.7</v>
      </c>
      <c r="O115" s="15" t="s">
        <v>56</v>
      </c>
      <c r="P115" s="35">
        <v>4.8</v>
      </c>
      <c r="R115" s="35">
        <v>5.3</v>
      </c>
      <c r="S115" s="15" t="s">
        <v>56</v>
      </c>
      <c r="T115" s="49">
        <v>6.61</v>
      </c>
      <c r="U115" s="15" t="s">
        <v>56</v>
      </c>
      <c r="V115" s="34">
        <v>8.8800000000000008</v>
      </c>
      <c r="W115" s="15" t="s">
        <v>56</v>
      </c>
      <c r="X115" s="49">
        <v>8.8000000000000007</v>
      </c>
      <c r="Y115" s="15" t="s">
        <v>56</v>
      </c>
      <c r="Z115" s="49">
        <v>8.1</v>
      </c>
      <c r="AA115" s="69" t="s">
        <v>56</v>
      </c>
    </row>
    <row r="116" spans="1:27" ht="15.75" customHeight="1">
      <c r="A116" s="21">
        <v>112</v>
      </c>
      <c r="B116" s="21">
        <v>4.4000000000000004</v>
      </c>
      <c r="C116" s="21">
        <v>4.5</v>
      </c>
      <c r="D116" s="21">
        <v>3.7</v>
      </c>
      <c r="E116" s="21"/>
      <c r="F116">
        <v>4.5999999999999996</v>
      </c>
      <c r="H116">
        <v>4.5</v>
      </c>
      <c r="I116" s="21" t="s">
        <v>56</v>
      </c>
      <c r="J116" s="34">
        <v>4.7</v>
      </c>
      <c r="K116" s="15" t="s">
        <v>56</v>
      </c>
      <c r="L116" s="35">
        <v>6.2</v>
      </c>
      <c r="M116" s="15" t="s">
        <v>56</v>
      </c>
      <c r="N116" s="35">
        <v>5.2</v>
      </c>
      <c r="O116" s="15" t="s">
        <v>56</v>
      </c>
      <c r="P116" s="35">
        <v>4.5</v>
      </c>
      <c r="R116" s="35">
        <v>6.1</v>
      </c>
      <c r="S116" s="15" t="s">
        <v>56</v>
      </c>
      <c r="T116" s="49">
        <v>6.56</v>
      </c>
      <c r="U116" s="15" t="s">
        <v>56</v>
      </c>
      <c r="V116" s="34">
        <v>8.02</v>
      </c>
      <c r="W116" s="15" t="s">
        <v>56</v>
      </c>
      <c r="X116" s="49">
        <v>6.9</v>
      </c>
      <c r="Y116" s="15" t="s">
        <v>56</v>
      </c>
      <c r="Z116" s="56">
        <v>11.8</v>
      </c>
      <c r="AA116" s="69" t="s">
        <v>58</v>
      </c>
    </row>
    <row r="117" spans="1:27" ht="15.75" customHeight="1">
      <c r="A117" s="21">
        <v>113</v>
      </c>
      <c r="B117" s="21">
        <v>4.3</v>
      </c>
      <c r="C117" s="21">
        <v>4.2</v>
      </c>
      <c r="D117" s="21">
        <v>4.0999999999999996</v>
      </c>
      <c r="E117" s="21"/>
      <c r="F117">
        <v>4.4000000000000004</v>
      </c>
      <c r="H117">
        <v>4.3</v>
      </c>
      <c r="I117" s="21" t="s">
        <v>56</v>
      </c>
      <c r="J117" s="34">
        <v>5.3</v>
      </c>
      <c r="K117" s="15" t="s">
        <v>56</v>
      </c>
      <c r="L117" s="35">
        <v>5.7</v>
      </c>
      <c r="M117" s="15" t="s">
        <v>56</v>
      </c>
      <c r="N117" s="35">
        <v>5.9</v>
      </c>
      <c r="O117" s="15" t="s">
        <v>56</v>
      </c>
      <c r="P117" s="35">
        <v>5.3</v>
      </c>
      <c r="R117" s="35">
        <v>5.3</v>
      </c>
      <c r="S117" s="15" t="s">
        <v>56</v>
      </c>
      <c r="T117" s="49">
        <v>6.28</v>
      </c>
      <c r="U117" s="15" t="s">
        <v>56</v>
      </c>
      <c r="V117" s="52">
        <v>11.97</v>
      </c>
      <c r="W117" s="15" t="s">
        <v>58</v>
      </c>
      <c r="X117" s="49">
        <v>8.1999999999999993</v>
      </c>
      <c r="Y117" s="15" t="s">
        <v>56</v>
      </c>
      <c r="Z117" s="49">
        <v>8</v>
      </c>
      <c r="AA117" s="69" t="s">
        <v>56</v>
      </c>
    </row>
    <row r="118" spans="1:27" ht="15.75" customHeight="1">
      <c r="A118" s="21">
        <v>114</v>
      </c>
      <c r="B118" s="21">
        <v>4.2</v>
      </c>
      <c r="C118" s="21">
        <v>4.7</v>
      </c>
      <c r="D118" s="21">
        <v>3.7</v>
      </c>
      <c r="E118" s="21"/>
      <c r="F118">
        <v>4.5999999999999996</v>
      </c>
      <c r="H118">
        <v>4.4000000000000004</v>
      </c>
      <c r="I118" s="21" t="s">
        <v>56</v>
      </c>
      <c r="J118" s="34">
        <v>4.9000000000000004</v>
      </c>
      <c r="K118" s="15" t="s">
        <v>56</v>
      </c>
      <c r="L118" s="35">
        <v>6.5</v>
      </c>
      <c r="M118" s="15" t="s">
        <v>56</v>
      </c>
      <c r="N118" s="35">
        <v>5.6</v>
      </c>
      <c r="O118" s="15" t="s">
        <v>56</v>
      </c>
      <c r="P118" s="35">
        <v>4.9000000000000004</v>
      </c>
      <c r="R118" s="35">
        <v>6.3</v>
      </c>
      <c r="S118" s="15" t="s">
        <v>56</v>
      </c>
      <c r="T118" s="49">
        <v>5.8</v>
      </c>
      <c r="U118" s="15" t="s">
        <v>56</v>
      </c>
      <c r="V118" s="52">
        <v>10.43</v>
      </c>
      <c r="W118" s="15" t="s">
        <v>58</v>
      </c>
      <c r="X118" s="56">
        <v>10.4</v>
      </c>
      <c r="Y118" s="15" t="s">
        <v>58</v>
      </c>
      <c r="Z118" s="56">
        <v>11.3</v>
      </c>
      <c r="AA118" s="69" t="s">
        <v>58</v>
      </c>
    </row>
    <row r="119" spans="1:27" ht="15.75" customHeight="1">
      <c r="A119" s="21">
        <v>115</v>
      </c>
      <c r="B119" s="21">
        <v>4.2</v>
      </c>
      <c r="C119" s="21">
        <v>4</v>
      </c>
      <c r="D119" s="21">
        <v>4.0999999999999996</v>
      </c>
      <c r="E119" s="21"/>
      <c r="F119">
        <v>4.5</v>
      </c>
      <c r="H119">
        <v>4.4000000000000004</v>
      </c>
      <c r="I119" s="21" t="s">
        <v>56</v>
      </c>
      <c r="J119" s="34">
        <v>4.8</v>
      </c>
      <c r="K119" s="15" t="s">
        <v>56</v>
      </c>
      <c r="L119" s="35">
        <v>6.1</v>
      </c>
      <c r="M119" s="15" t="s">
        <v>56</v>
      </c>
      <c r="N119" s="35">
        <v>5.4</v>
      </c>
      <c r="O119" s="15" t="s">
        <v>56</v>
      </c>
      <c r="P119" s="35">
        <v>4.4000000000000004</v>
      </c>
      <c r="R119" s="35">
        <v>5.9</v>
      </c>
      <c r="S119" s="15" t="s">
        <v>56</v>
      </c>
      <c r="T119" s="49">
        <v>5.82</v>
      </c>
      <c r="U119" s="15" t="s">
        <v>56</v>
      </c>
      <c r="V119" s="34">
        <v>8.25</v>
      </c>
      <c r="W119" s="15" t="s">
        <v>56</v>
      </c>
      <c r="X119" s="49">
        <v>7</v>
      </c>
      <c r="Y119" s="15" t="s">
        <v>56</v>
      </c>
      <c r="Z119" s="56">
        <v>10.1</v>
      </c>
      <c r="AA119" s="69" t="s">
        <v>58</v>
      </c>
    </row>
    <row r="120" spans="1:27" ht="15.75" customHeight="1">
      <c r="A120" s="21">
        <v>116</v>
      </c>
      <c r="B120" s="21">
        <v>4.3</v>
      </c>
      <c r="C120" s="21">
        <v>4.8</v>
      </c>
      <c r="D120" s="21">
        <v>3.6</v>
      </c>
      <c r="E120" s="21"/>
      <c r="F120">
        <v>4.8</v>
      </c>
      <c r="H120">
        <v>4.5999999999999996</v>
      </c>
      <c r="I120" s="21" t="s">
        <v>56</v>
      </c>
      <c r="J120" s="34">
        <v>4.7</v>
      </c>
      <c r="K120" s="15" t="s">
        <v>56</v>
      </c>
      <c r="L120" s="35">
        <v>5.9</v>
      </c>
      <c r="M120" s="15" t="s">
        <v>56</v>
      </c>
      <c r="N120" s="35">
        <v>5.0999999999999996</v>
      </c>
      <c r="O120" s="15" t="s">
        <v>56</v>
      </c>
      <c r="P120" s="35">
        <v>4.4000000000000004</v>
      </c>
      <c r="R120" s="35">
        <v>5.6</v>
      </c>
      <c r="S120" s="15" t="s">
        <v>56</v>
      </c>
      <c r="T120" s="49">
        <v>6.24</v>
      </c>
      <c r="U120" s="15" t="s">
        <v>56</v>
      </c>
      <c r="V120" s="34">
        <v>7.43</v>
      </c>
      <c r="W120" s="15" t="s">
        <v>56</v>
      </c>
      <c r="X120" s="49">
        <v>4.4000000000000004</v>
      </c>
      <c r="Y120" s="15" t="s">
        <v>56</v>
      </c>
      <c r="Z120" s="49">
        <v>5.9</v>
      </c>
      <c r="AA120" s="69" t="s">
        <v>56</v>
      </c>
    </row>
    <row r="121" spans="1:27" ht="15.75" customHeight="1">
      <c r="A121" s="21">
        <v>117</v>
      </c>
      <c r="B121" s="21">
        <v>4.2</v>
      </c>
      <c r="C121" s="21">
        <v>3.9</v>
      </c>
      <c r="D121" s="21">
        <v>4.0999999999999996</v>
      </c>
      <c r="E121" s="21"/>
      <c r="F121">
        <v>5.5</v>
      </c>
      <c r="H121">
        <v>4.2</v>
      </c>
      <c r="I121" s="21" t="s">
        <v>56</v>
      </c>
      <c r="J121" s="34">
        <v>4.8</v>
      </c>
      <c r="K121" s="15" t="s">
        <v>56</v>
      </c>
      <c r="L121" s="35">
        <v>5.6</v>
      </c>
      <c r="M121" s="15" t="s">
        <v>56</v>
      </c>
      <c r="N121" s="35">
        <v>5.8</v>
      </c>
      <c r="O121" s="15" t="s">
        <v>56</v>
      </c>
      <c r="P121" s="35">
        <v>5</v>
      </c>
      <c r="R121" s="35">
        <v>5.4</v>
      </c>
      <c r="S121" s="15" t="s">
        <v>56</v>
      </c>
      <c r="T121" s="49">
        <v>4.92</v>
      </c>
      <c r="U121" s="15" t="s">
        <v>56</v>
      </c>
      <c r="V121" s="52">
        <v>11.12</v>
      </c>
      <c r="W121" s="15" t="s">
        <v>58</v>
      </c>
      <c r="X121" s="49">
        <v>7.2</v>
      </c>
      <c r="Y121" s="15" t="s">
        <v>56</v>
      </c>
      <c r="Z121" s="49">
        <v>8.5</v>
      </c>
      <c r="AA121" s="69" t="s">
        <v>56</v>
      </c>
    </row>
    <row r="122" spans="1:27" ht="15.75" customHeight="1">
      <c r="A122" s="21">
        <v>118</v>
      </c>
      <c r="B122" s="21">
        <v>4.2</v>
      </c>
      <c r="C122" s="21">
        <v>4.0999999999999996</v>
      </c>
      <c r="D122" s="21">
        <v>3.9</v>
      </c>
      <c r="E122" s="21"/>
      <c r="F122">
        <v>4.5999999999999996</v>
      </c>
      <c r="H122">
        <v>4.4000000000000004</v>
      </c>
      <c r="I122" s="21" t="s">
        <v>56</v>
      </c>
      <c r="J122" s="34">
        <v>4.8</v>
      </c>
      <c r="K122" s="15" t="s">
        <v>56</v>
      </c>
      <c r="L122" s="35">
        <v>6</v>
      </c>
      <c r="M122" s="15" t="s">
        <v>56</v>
      </c>
      <c r="N122" s="35">
        <v>6</v>
      </c>
      <c r="O122" s="15" t="s">
        <v>56</v>
      </c>
      <c r="P122" s="35">
        <v>4.8</v>
      </c>
      <c r="R122" s="35">
        <v>7.3</v>
      </c>
      <c r="S122" s="15" t="s">
        <v>56</v>
      </c>
      <c r="T122" s="49">
        <v>6.14</v>
      </c>
      <c r="U122" s="15" t="s">
        <v>56</v>
      </c>
      <c r="V122" s="34">
        <v>7.81</v>
      </c>
      <c r="W122" s="15" t="s">
        <v>56</v>
      </c>
      <c r="X122" s="58">
        <v>20.100000000000001</v>
      </c>
      <c r="Y122" s="15" t="s">
        <v>60</v>
      </c>
      <c r="Z122" s="58">
        <v>21.4</v>
      </c>
      <c r="AA122" s="69" t="s">
        <v>60</v>
      </c>
    </row>
    <row r="123" spans="1:27" ht="15.75" customHeight="1">
      <c r="A123" s="21">
        <v>119</v>
      </c>
      <c r="B123" s="21">
        <v>4.3</v>
      </c>
      <c r="C123" s="21">
        <v>4.5</v>
      </c>
      <c r="D123" s="21">
        <v>3.6</v>
      </c>
      <c r="E123" s="21"/>
      <c r="F123">
        <v>4.4000000000000004</v>
      </c>
      <c r="H123">
        <v>4.4000000000000004</v>
      </c>
      <c r="I123" s="21" t="s">
        <v>56</v>
      </c>
      <c r="J123" s="34">
        <v>4.0999999999999996</v>
      </c>
      <c r="K123" s="15" t="s">
        <v>56</v>
      </c>
      <c r="L123" s="35">
        <v>6.1</v>
      </c>
      <c r="M123" s="15" t="s">
        <v>56</v>
      </c>
      <c r="N123" s="35">
        <v>5.5</v>
      </c>
      <c r="O123" s="15" t="s">
        <v>56</v>
      </c>
      <c r="P123" s="35">
        <v>4.2</v>
      </c>
      <c r="R123" s="35">
        <v>5.7</v>
      </c>
      <c r="S123" s="15" t="s">
        <v>56</v>
      </c>
      <c r="T123" s="49">
        <v>5.82</v>
      </c>
      <c r="U123" s="15" t="s">
        <v>56</v>
      </c>
      <c r="V123" s="52">
        <v>9.48</v>
      </c>
      <c r="W123" s="15" t="s">
        <v>58</v>
      </c>
      <c r="X123" s="49">
        <v>7.3</v>
      </c>
      <c r="Y123" s="15" t="s">
        <v>56</v>
      </c>
      <c r="Z123" s="49">
        <v>8</v>
      </c>
      <c r="AA123" s="69" t="s">
        <v>60</v>
      </c>
    </row>
    <row r="124" spans="1:27" ht="15.75" customHeight="1">
      <c r="A124" s="21">
        <v>120</v>
      </c>
      <c r="B124" s="21">
        <v>4.5999999999999996</v>
      </c>
      <c r="C124" s="21">
        <v>4.7</v>
      </c>
      <c r="D124" s="21">
        <v>4.7</v>
      </c>
      <c r="E124" s="21"/>
      <c r="F124">
        <v>7.1</v>
      </c>
      <c r="H124">
        <v>4.3</v>
      </c>
      <c r="I124" s="21" t="s">
        <v>56</v>
      </c>
      <c r="J124" s="67"/>
      <c r="K124" s="15" t="s">
        <v>145</v>
      </c>
      <c r="L124" s="35">
        <v>5.5</v>
      </c>
      <c r="M124" s="15" t="s">
        <v>56</v>
      </c>
      <c r="N124" s="71"/>
      <c r="O124" s="15" t="s">
        <v>145</v>
      </c>
      <c r="P124" s="35">
        <v>5.2</v>
      </c>
      <c r="R124" s="35">
        <v>6</v>
      </c>
      <c r="S124" s="15" t="s">
        <v>56</v>
      </c>
      <c r="T124" s="49">
        <v>5.43</v>
      </c>
      <c r="U124" s="15" t="s">
        <v>56</v>
      </c>
      <c r="V124" s="34">
        <v>8.32</v>
      </c>
      <c r="W124" s="15" t="s">
        <v>56</v>
      </c>
      <c r="X124" s="49">
        <v>7.1</v>
      </c>
      <c r="Y124" s="15" t="s">
        <v>56</v>
      </c>
      <c r="Z124" s="49">
        <v>8.6999999999999993</v>
      </c>
      <c r="AA124" s="69" t="s">
        <v>60</v>
      </c>
    </row>
    <row r="125" spans="1:27" ht="15.75" customHeight="1">
      <c r="D125" s="21"/>
      <c r="E125" s="21"/>
    </row>
    <row r="126" spans="1:27" ht="15.75" customHeight="1">
      <c r="D126" s="21"/>
      <c r="E126" s="21"/>
      <c r="T126">
        <f>COUNTIF(T5:T124,"&lt;=9")</f>
        <v>106</v>
      </c>
      <c r="U126" s="15" t="s">
        <v>56</v>
      </c>
      <c r="V126">
        <f>COUNTIF(V5:V124,"&lt;=9")</f>
        <v>99</v>
      </c>
      <c r="W126" s="15" t="s">
        <v>56</v>
      </c>
      <c r="X126">
        <f>COUNTIF(X5:X124,"&lt;=9")</f>
        <v>103</v>
      </c>
      <c r="Y126" s="15" t="s">
        <v>56</v>
      </c>
    </row>
    <row r="127" spans="1:27" ht="15.75" customHeight="1">
      <c r="D127" s="21"/>
      <c r="E127" s="21"/>
      <c r="T127" s="68">
        <f>120-(T126+T128)</f>
        <v>8</v>
      </c>
      <c r="U127" s="15" t="s">
        <v>58</v>
      </c>
      <c r="V127" s="68">
        <f>120-(V126+V128)</f>
        <v>15</v>
      </c>
      <c r="W127" s="15" t="s">
        <v>58</v>
      </c>
      <c r="X127" s="68">
        <f>120-(X126+X128)</f>
        <v>11</v>
      </c>
      <c r="Y127" s="15" t="s">
        <v>58</v>
      </c>
    </row>
    <row r="128" spans="1:27" ht="15.75" customHeight="1">
      <c r="D128" s="21"/>
      <c r="E128" s="21"/>
      <c r="T128" s="67">
        <f>COUNTIF(T5:T124,"&gt;12")</f>
        <v>6</v>
      </c>
      <c r="U128" s="15" t="s">
        <v>60</v>
      </c>
      <c r="V128" s="67">
        <f>COUNTIF(V5:V124,"&gt;12")</f>
        <v>6</v>
      </c>
      <c r="W128" s="15" t="s">
        <v>60</v>
      </c>
      <c r="X128" s="67">
        <f>COUNTIF(X5:X124,"&gt;12")</f>
        <v>6</v>
      </c>
      <c r="Y128" s="15" t="s">
        <v>60</v>
      </c>
    </row>
    <row r="129" spans="4:25" ht="15.75" customHeight="1">
      <c r="D129" s="21"/>
      <c r="E129" s="21"/>
      <c r="T129">
        <f>T127+T128</f>
        <v>14</v>
      </c>
      <c r="U129" s="15" t="s">
        <v>113</v>
      </c>
      <c r="V129">
        <f>V127+V128</f>
        <v>21</v>
      </c>
      <c r="W129" s="15" t="s">
        <v>113</v>
      </c>
      <c r="X129">
        <f>X127+X128</f>
        <v>17</v>
      </c>
      <c r="Y129" s="15" t="s">
        <v>113</v>
      </c>
    </row>
    <row r="130" spans="4:25" ht="15.75" customHeight="1">
      <c r="D130" s="21"/>
      <c r="E130" s="21"/>
    </row>
    <row r="131" spans="4:25" ht="15.75" customHeight="1">
      <c r="D131" s="21"/>
      <c r="E131" s="21"/>
    </row>
    <row r="132" spans="4:25" ht="15.75" customHeight="1">
      <c r="D132" s="21"/>
      <c r="E132" s="21"/>
    </row>
    <row r="133" spans="4:25" ht="15.75" customHeight="1">
      <c r="D133" s="21"/>
      <c r="E133" s="21"/>
    </row>
    <row r="134" spans="4:25" ht="15.75" customHeight="1">
      <c r="D134" s="21"/>
      <c r="E134" s="21"/>
    </row>
    <row r="135" spans="4:25" ht="15.75" customHeight="1">
      <c r="D135" s="21"/>
      <c r="E135" s="21"/>
    </row>
    <row r="136" spans="4:25" ht="15.75" customHeight="1">
      <c r="D136" s="21"/>
      <c r="E136" s="21"/>
    </row>
    <row r="137" spans="4:25" ht="15.75" customHeight="1">
      <c r="D137" s="21"/>
      <c r="E137" s="21"/>
    </row>
    <row r="138" spans="4:25" ht="15.75" customHeight="1">
      <c r="D138" s="21"/>
      <c r="E138" s="21"/>
    </row>
    <row r="139" spans="4:25" ht="15.75" customHeight="1">
      <c r="D139" s="21"/>
      <c r="E139" s="21"/>
    </row>
    <row r="140" spans="4:25" ht="15.75" customHeight="1">
      <c r="D140" s="21"/>
      <c r="E140" s="21"/>
    </row>
    <row r="141" spans="4:25" ht="15.75" customHeight="1">
      <c r="D141" s="21"/>
      <c r="E141" s="21"/>
    </row>
    <row r="142" spans="4:25" ht="15.75" customHeight="1">
      <c r="D142" s="21"/>
      <c r="E142" s="21"/>
    </row>
    <row r="143" spans="4:25" ht="15.75" customHeight="1">
      <c r="D143" s="21"/>
      <c r="E143" s="21"/>
    </row>
    <row r="144" spans="4:25" ht="15.75" customHeight="1">
      <c r="D144" s="21"/>
      <c r="E144" s="21"/>
    </row>
    <row r="145" spans="4:5" ht="15.75" customHeight="1">
      <c r="D145" s="21"/>
      <c r="E145" s="21"/>
    </row>
    <row r="146" spans="4:5" ht="15.75" customHeight="1">
      <c r="D146" s="21"/>
      <c r="E146" s="21"/>
    </row>
    <row r="147" spans="4:5" ht="15.75" customHeight="1">
      <c r="D147" s="21"/>
      <c r="E147" s="21"/>
    </row>
    <row r="148" spans="4:5" ht="15.75" customHeight="1">
      <c r="D148" s="21"/>
      <c r="E148" s="21"/>
    </row>
    <row r="149" spans="4:5" ht="15.75" customHeight="1">
      <c r="D149" s="21"/>
      <c r="E149" s="21"/>
    </row>
    <row r="150" spans="4:5" ht="15.75" customHeight="1">
      <c r="D150" s="21"/>
      <c r="E150" s="21"/>
    </row>
    <row r="151" spans="4:5" ht="15.75" customHeight="1">
      <c r="D151" s="21"/>
      <c r="E151" s="21"/>
    </row>
    <row r="152" spans="4:5" ht="15.75" customHeight="1">
      <c r="D152" s="21"/>
      <c r="E152" s="21"/>
    </row>
    <row r="153" spans="4:5" ht="15.75" customHeight="1">
      <c r="D153" s="21"/>
      <c r="E153" s="21"/>
    </row>
    <row r="154" spans="4:5" ht="15.75" customHeight="1">
      <c r="D154" s="21"/>
      <c r="E154" s="21"/>
    </row>
    <row r="155" spans="4:5" ht="15.75" customHeight="1">
      <c r="D155" s="21"/>
      <c r="E155" s="21"/>
    </row>
    <row r="156" spans="4:5" ht="15.75" customHeight="1">
      <c r="D156" s="21"/>
      <c r="E156" s="21"/>
    </row>
    <row r="157" spans="4:5" ht="15.75" customHeight="1">
      <c r="D157" s="21"/>
      <c r="E157" s="21"/>
    </row>
    <row r="158" spans="4:5" ht="15.75" customHeight="1">
      <c r="D158" s="21"/>
      <c r="E158" s="21"/>
    </row>
    <row r="159" spans="4:5" ht="15.75" customHeight="1">
      <c r="D159" s="21"/>
      <c r="E159" s="21"/>
    </row>
    <row r="160" spans="4:5" ht="15.75" customHeight="1">
      <c r="D160" s="21"/>
      <c r="E160" s="21"/>
    </row>
    <row r="161" spans="4:5" ht="15.75" customHeight="1">
      <c r="D161" s="21"/>
      <c r="E161" s="21"/>
    </row>
    <row r="162" spans="4:5" ht="15.75" customHeight="1">
      <c r="D162" s="21"/>
      <c r="E162" s="21"/>
    </row>
    <row r="163" spans="4:5" ht="15.75" customHeight="1">
      <c r="D163" s="21"/>
      <c r="E163" s="21"/>
    </row>
    <row r="164" spans="4:5" ht="15.75" customHeight="1">
      <c r="D164" s="21"/>
      <c r="E164" s="21"/>
    </row>
    <row r="165" spans="4:5" ht="15.75" customHeight="1">
      <c r="D165" s="21"/>
      <c r="E165" s="21"/>
    </row>
    <row r="166" spans="4:5" ht="15.75" customHeight="1">
      <c r="D166" s="21"/>
      <c r="E166" s="21"/>
    </row>
    <row r="167" spans="4:5" ht="15.75" customHeight="1">
      <c r="D167" s="21"/>
      <c r="E167" s="21"/>
    </row>
    <row r="168" spans="4:5" ht="15.75" customHeight="1">
      <c r="D168" s="21"/>
      <c r="E168" s="21"/>
    </row>
    <row r="169" spans="4:5" ht="15.75" customHeight="1">
      <c r="D169" s="21"/>
      <c r="E169" s="21"/>
    </row>
    <row r="170" spans="4:5" ht="15.75" customHeight="1">
      <c r="D170" s="21"/>
      <c r="E170" s="21"/>
    </row>
    <row r="171" spans="4:5" ht="15.75" customHeight="1">
      <c r="D171" s="21"/>
      <c r="E171" s="21"/>
    </row>
    <row r="172" spans="4:5" ht="15.75" customHeight="1">
      <c r="D172" s="21"/>
      <c r="E172" s="21"/>
    </row>
    <row r="173" spans="4:5" ht="15.75" customHeight="1">
      <c r="D173" s="21"/>
      <c r="E173" s="21"/>
    </row>
    <row r="174" spans="4:5" ht="15.75" customHeight="1">
      <c r="D174" s="21"/>
      <c r="E174" s="21"/>
    </row>
    <row r="175" spans="4:5" ht="15.75" customHeight="1">
      <c r="D175" s="21"/>
      <c r="E175" s="21"/>
    </row>
    <row r="176" spans="4:5" ht="15.75" customHeight="1">
      <c r="D176" s="21"/>
      <c r="E176" s="21"/>
    </row>
    <row r="177" spans="4:5" ht="15.75" customHeight="1">
      <c r="D177" s="21"/>
      <c r="E177" s="21"/>
    </row>
    <row r="178" spans="4:5" ht="15.75" customHeight="1">
      <c r="D178" s="21"/>
      <c r="E178" s="21"/>
    </row>
    <row r="179" spans="4:5" ht="15.75" customHeight="1">
      <c r="D179" s="21"/>
      <c r="E179" s="21"/>
    </row>
    <row r="180" spans="4:5" ht="15.75" customHeight="1">
      <c r="D180" s="21"/>
      <c r="E180" s="21"/>
    </row>
    <row r="181" spans="4:5" ht="15.75" customHeight="1">
      <c r="D181" s="21"/>
      <c r="E181" s="21"/>
    </row>
    <row r="182" spans="4:5" ht="15.75" customHeight="1">
      <c r="D182" s="21"/>
      <c r="E182" s="21"/>
    </row>
    <row r="183" spans="4:5" ht="15.75" customHeight="1">
      <c r="D183" s="21"/>
      <c r="E183" s="21"/>
    </row>
    <row r="184" spans="4:5" ht="15.75" customHeight="1">
      <c r="D184" s="21"/>
      <c r="E184" s="21"/>
    </row>
    <row r="185" spans="4:5" ht="15.75" customHeight="1">
      <c r="D185" s="21"/>
      <c r="E185" s="21"/>
    </row>
    <row r="186" spans="4:5" ht="15.75" customHeight="1">
      <c r="D186" s="21"/>
      <c r="E186" s="21"/>
    </row>
    <row r="187" spans="4:5" ht="15.75" customHeight="1">
      <c r="D187" s="21"/>
      <c r="E187" s="21"/>
    </row>
    <row r="188" spans="4:5" ht="15.75" customHeight="1">
      <c r="D188" s="21"/>
      <c r="E188" s="21"/>
    </row>
    <row r="189" spans="4:5" ht="15.75" customHeight="1">
      <c r="D189" s="21"/>
      <c r="E189" s="21"/>
    </row>
    <row r="190" spans="4:5" ht="15.75" customHeight="1">
      <c r="D190" s="21"/>
      <c r="E190" s="21"/>
    </row>
    <row r="191" spans="4:5" ht="15.75" customHeight="1">
      <c r="D191" s="21"/>
      <c r="E191" s="21"/>
    </row>
    <row r="192" spans="4:5" ht="15.75" customHeight="1">
      <c r="D192" s="21"/>
      <c r="E192" s="21"/>
    </row>
    <row r="193" spans="4:5" ht="15.75" customHeight="1">
      <c r="D193" s="21"/>
      <c r="E193" s="21"/>
    </row>
    <row r="194" spans="4:5" ht="15.75" customHeight="1">
      <c r="D194" s="21"/>
      <c r="E194" s="21"/>
    </row>
    <row r="195" spans="4:5" ht="15.75" customHeight="1">
      <c r="D195" s="21"/>
      <c r="E195" s="21"/>
    </row>
    <row r="196" spans="4:5" ht="15.75" customHeight="1">
      <c r="D196" s="21"/>
      <c r="E196" s="21"/>
    </row>
    <row r="197" spans="4:5" ht="15.75" customHeight="1">
      <c r="D197" s="21"/>
      <c r="E197" s="21"/>
    </row>
    <row r="198" spans="4:5" ht="15.75" customHeight="1">
      <c r="D198" s="21"/>
      <c r="E198" s="21"/>
    </row>
    <row r="199" spans="4:5" ht="15.75" customHeight="1">
      <c r="D199" s="21"/>
      <c r="E199" s="21"/>
    </row>
    <row r="200" spans="4:5" ht="15.75" customHeight="1">
      <c r="D200" s="21"/>
      <c r="E200" s="21"/>
    </row>
    <row r="201" spans="4:5" ht="15.75" customHeight="1">
      <c r="D201" s="21"/>
      <c r="E201" s="21"/>
    </row>
    <row r="202" spans="4:5" ht="15.75" customHeight="1">
      <c r="D202" s="21"/>
      <c r="E202" s="21"/>
    </row>
    <row r="203" spans="4:5" ht="15.75" customHeight="1">
      <c r="D203" s="21"/>
      <c r="E203" s="21"/>
    </row>
    <row r="204" spans="4:5" ht="15.75" customHeight="1">
      <c r="D204" s="21"/>
      <c r="E204" s="21"/>
    </row>
    <row r="205" spans="4:5" ht="15.75" customHeight="1">
      <c r="D205" s="21"/>
      <c r="E205" s="21"/>
    </row>
    <row r="206" spans="4:5" ht="15.75" customHeight="1">
      <c r="D206" s="21"/>
      <c r="E206" s="21"/>
    </row>
    <row r="207" spans="4:5" ht="15.75" customHeight="1">
      <c r="D207" s="21"/>
      <c r="E207" s="21"/>
    </row>
    <row r="208" spans="4:5" ht="15.75" customHeight="1">
      <c r="D208" s="21"/>
      <c r="E208" s="21"/>
    </row>
    <row r="209" spans="4:5" ht="15.75" customHeight="1">
      <c r="D209" s="21"/>
      <c r="E209" s="21"/>
    </row>
    <row r="210" spans="4:5" ht="15.75" customHeight="1">
      <c r="D210" s="21"/>
      <c r="E210" s="21"/>
    </row>
    <row r="211" spans="4:5" ht="15.75" customHeight="1">
      <c r="D211" s="21"/>
      <c r="E211" s="21"/>
    </row>
    <row r="212" spans="4:5" ht="15.75" customHeight="1">
      <c r="D212" s="21"/>
      <c r="E212" s="21"/>
    </row>
    <row r="213" spans="4:5" ht="15.75" customHeight="1">
      <c r="D213" s="21"/>
      <c r="E213" s="21"/>
    </row>
    <row r="214" spans="4:5" ht="15.75" customHeight="1">
      <c r="D214" s="21"/>
      <c r="E214" s="21"/>
    </row>
    <row r="215" spans="4:5" ht="15.75" customHeight="1">
      <c r="D215" s="21"/>
      <c r="E215" s="21"/>
    </row>
    <row r="216" spans="4:5" ht="15.75" customHeight="1">
      <c r="D216" s="21"/>
      <c r="E216" s="21"/>
    </row>
    <row r="217" spans="4:5" ht="15.75" customHeight="1">
      <c r="D217" s="21"/>
      <c r="E217" s="21"/>
    </row>
    <row r="218" spans="4:5" ht="15.75" customHeight="1">
      <c r="D218" s="21"/>
      <c r="E218" s="21"/>
    </row>
    <row r="219" spans="4:5" ht="15.75" customHeight="1">
      <c r="D219" s="21"/>
      <c r="E219" s="21"/>
    </row>
    <row r="220" spans="4:5" ht="15.75" customHeight="1">
      <c r="D220" s="21"/>
      <c r="E220" s="21"/>
    </row>
    <row r="221" spans="4:5" ht="15.75" customHeight="1">
      <c r="D221" s="21"/>
      <c r="E221" s="21"/>
    </row>
    <row r="222" spans="4:5" ht="15.75" customHeight="1">
      <c r="D222" s="21"/>
      <c r="E222" s="21"/>
    </row>
    <row r="223" spans="4:5" ht="15.75" customHeight="1">
      <c r="D223" s="21"/>
      <c r="E223" s="21"/>
    </row>
    <row r="224" spans="4:5" ht="15.75" customHeight="1">
      <c r="D224" s="21"/>
      <c r="E224" s="21"/>
    </row>
    <row r="225" spans="4:5" ht="15.75" customHeight="1">
      <c r="D225" s="21"/>
      <c r="E225" s="21"/>
    </row>
    <row r="226" spans="4:5" ht="15.75" customHeight="1">
      <c r="D226" s="21"/>
      <c r="E226" s="21"/>
    </row>
    <row r="227" spans="4:5" ht="15.75" customHeight="1">
      <c r="D227" s="21"/>
      <c r="E227" s="21"/>
    </row>
    <row r="228" spans="4:5" ht="15.75" customHeight="1">
      <c r="D228" s="21"/>
      <c r="E228" s="21"/>
    </row>
    <row r="229" spans="4:5" ht="15.75" customHeight="1">
      <c r="D229" s="21"/>
      <c r="E229" s="21"/>
    </row>
    <row r="230" spans="4:5" ht="15.75" customHeight="1">
      <c r="D230" s="21"/>
      <c r="E230" s="21"/>
    </row>
    <row r="231" spans="4:5" ht="15.75" customHeight="1">
      <c r="D231" s="21"/>
      <c r="E231" s="21"/>
    </row>
    <row r="232" spans="4:5" ht="15.75" customHeight="1">
      <c r="D232" s="21"/>
      <c r="E232" s="21"/>
    </row>
    <row r="233" spans="4:5" ht="15.75" customHeight="1">
      <c r="D233" s="21"/>
      <c r="E233" s="21"/>
    </row>
    <row r="234" spans="4:5" ht="15.75" customHeight="1">
      <c r="D234" s="21"/>
      <c r="E234" s="21"/>
    </row>
    <row r="235" spans="4:5" ht="15.75" customHeight="1">
      <c r="D235" s="21"/>
      <c r="E235" s="21"/>
    </row>
    <row r="236" spans="4:5" ht="15.75" customHeight="1">
      <c r="D236" s="21"/>
      <c r="E236" s="21"/>
    </row>
    <row r="237" spans="4:5" ht="15.75" customHeight="1">
      <c r="D237" s="21"/>
      <c r="E237" s="21"/>
    </row>
    <row r="238" spans="4:5" ht="15.75" customHeight="1">
      <c r="D238" s="21"/>
      <c r="E238" s="21"/>
    </row>
    <row r="239" spans="4:5" ht="15.75" customHeight="1">
      <c r="D239" s="21"/>
      <c r="E239" s="21"/>
    </row>
    <row r="240" spans="4:5" ht="15.75" customHeight="1">
      <c r="D240" s="21"/>
      <c r="E240" s="21"/>
    </row>
    <row r="241" spans="4:5" ht="15.75" customHeight="1">
      <c r="D241" s="21"/>
      <c r="E241" s="21"/>
    </row>
    <row r="242" spans="4:5" ht="15.75" customHeight="1">
      <c r="D242" s="21"/>
      <c r="E242" s="21"/>
    </row>
    <row r="243" spans="4:5" ht="15.75" customHeight="1">
      <c r="D243" s="21"/>
      <c r="E243" s="21"/>
    </row>
    <row r="244" spans="4:5" ht="15.75" customHeight="1">
      <c r="D244" s="21"/>
      <c r="E244" s="21"/>
    </row>
    <row r="245" spans="4:5" ht="15.75" customHeight="1">
      <c r="D245" s="21"/>
      <c r="E245" s="21"/>
    </row>
    <row r="246" spans="4:5" ht="15.75" customHeight="1">
      <c r="D246" s="21"/>
      <c r="E246" s="21"/>
    </row>
    <row r="247" spans="4:5" ht="15.75" customHeight="1">
      <c r="D247" s="21"/>
      <c r="E247" s="21"/>
    </row>
    <row r="248" spans="4:5" ht="15.75" customHeight="1">
      <c r="D248" s="21"/>
      <c r="E248" s="21"/>
    </row>
    <row r="249" spans="4:5" ht="15.75" customHeight="1">
      <c r="D249" s="21"/>
      <c r="E249" s="21"/>
    </row>
    <row r="250" spans="4:5" ht="15.75" customHeight="1">
      <c r="D250" s="21"/>
      <c r="E250" s="21"/>
    </row>
    <row r="251" spans="4:5" ht="15.75" customHeight="1">
      <c r="D251" s="21"/>
      <c r="E251" s="21"/>
    </row>
    <row r="252" spans="4:5" ht="15.75" customHeight="1">
      <c r="D252" s="21"/>
      <c r="E252" s="21"/>
    </row>
    <row r="253" spans="4:5" ht="15.75" customHeight="1">
      <c r="D253" s="21"/>
      <c r="E253" s="21"/>
    </row>
    <row r="254" spans="4:5" ht="15.75" customHeight="1">
      <c r="D254" s="21"/>
      <c r="E254" s="21"/>
    </row>
    <row r="255" spans="4:5" ht="15.75" customHeight="1">
      <c r="D255" s="21"/>
      <c r="E255" s="21"/>
    </row>
    <row r="256" spans="4:5" ht="15.75" customHeight="1">
      <c r="D256" s="21"/>
      <c r="E256" s="21"/>
    </row>
    <row r="257" spans="4:5" ht="15.75" customHeight="1">
      <c r="D257" s="21"/>
      <c r="E257" s="21"/>
    </row>
    <row r="258" spans="4:5" ht="15.75" customHeight="1">
      <c r="D258" s="21"/>
      <c r="E258" s="21"/>
    </row>
    <row r="259" spans="4:5" ht="15.75" customHeight="1">
      <c r="D259" s="21"/>
      <c r="E259" s="21"/>
    </row>
    <row r="260" spans="4:5" ht="15.75" customHeight="1">
      <c r="D260" s="21"/>
      <c r="E260" s="21"/>
    </row>
    <row r="261" spans="4:5" ht="15.75" customHeight="1">
      <c r="D261" s="21"/>
      <c r="E261" s="21"/>
    </row>
    <row r="262" spans="4:5" ht="15.75" customHeight="1">
      <c r="D262" s="21"/>
      <c r="E262" s="21"/>
    </row>
    <row r="263" spans="4:5" ht="15.75" customHeight="1">
      <c r="D263" s="21"/>
      <c r="E263" s="21"/>
    </row>
    <row r="264" spans="4:5" ht="15.75" customHeight="1">
      <c r="D264" s="21"/>
      <c r="E264" s="21"/>
    </row>
    <row r="265" spans="4:5" ht="15.75" customHeight="1">
      <c r="D265" s="21"/>
      <c r="E265" s="21"/>
    </row>
    <row r="266" spans="4:5" ht="15.75" customHeight="1">
      <c r="D266" s="21"/>
      <c r="E266" s="21"/>
    </row>
    <row r="267" spans="4:5" ht="15.75" customHeight="1">
      <c r="D267" s="21"/>
      <c r="E267" s="21"/>
    </row>
    <row r="268" spans="4:5" ht="15.75" customHeight="1">
      <c r="D268" s="21"/>
      <c r="E268" s="21"/>
    </row>
    <row r="269" spans="4:5" ht="15.75" customHeight="1">
      <c r="D269" s="21"/>
      <c r="E269" s="21"/>
    </row>
    <row r="270" spans="4:5" ht="15.75" customHeight="1">
      <c r="D270" s="21"/>
      <c r="E270" s="21"/>
    </row>
    <row r="271" spans="4:5" ht="15.75" customHeight="1">
      <c r="D271" s="21"/>
      <c r="E271" s="21"/>
    </row>
    <row r="272" spans="4:5" ht="15.75" customHeight="1">
      <c r="D272" s="21"/>
      <c r="E272" s="21"/>
    </row>
    <row r="273" spans="4:5" ht="15.75" customHeight="1">
      <c r="D273" s="21"/>
      <c r="E273" s="21"/>
    </row>
    <row r="274" spans="4:5" ht="15.75" customHeight="1">
      <c r="D274" s="21"/>
      <c r="E274" s="21"/>
    </row>
    <row r="275" spans="4:5" ht="15.75" customHeight="1">
      <c r="D275" s="21"/>
      <c r="E275" s="21"/>
    </row>
    <row r="276" spans="4:5" ht="15.75" customHeight="1">
      <c r="D276" s="21"/>
      <c r="E276" s="21"/>
    </row>
    <row r="277" spans="4:5" ht="15.75" customHeight="1">
      <c r="D277" s="21"/>
      <c r="E277" s="21"/>
    </row>
    <row r="278" spans="4:5" ht="15.75" customHeight="1">
      <c r="D278" s="21"/>
      <c r="E278" s="21"/>
    </row>
    <row r="279" spans="4:5" ht="15.75" customHeight="1">
      <c r="D279" s="21"/>
      <c r="E279" s="21"/>
    </row>
    <row r="280" spans="4:5" ht="15.75" customHeight="1">
      <c r="D280" s="21"/>
      <c r="E280" s="21"/>
    </row>
    <row r="281" spans="4:5" ht="15.75" customHeight="1">
      <c r="D281" s="21"/>
      <c r="E281" s="21"/>
    </row>
    <row r="282" spans="4:5" ht="15.75" customHeight="1">
      <c r="D282" s="21"/>
      <c r="E282" s="21"/>
    </row>
    <row r="283" spans="4:5" ht="15.75" customHeight="1">
      <c r="D283" s="21"/>
      <c r="E283" s="21"/>
    </row>
    <row r="284" spans="4:5" ht="15.75" customHeight="1">
      <c r="D284" s="21"/>
      <c r="E284" s="21"/>
    </row>
    <row r="285" spans="4:5" ht="15.75" customHeight="1">
      <c r="D285" s="21"/>
      <c r="E285" s="21"/>
    </row>
    <row r="286" spans="4:5" ht="15.75" customHeight="1">
      <c r="D286" s="21"/>
      <c r="E286" s="21"/>
    </row>
    <row r="287" spans="4:5" ht="15.75" customHeight="1">
      <c r="D287" s="21"/>
      <c r="E287" s="21"/>
    </row>
    <row r="288" spans="4:5" ht="15.75" customHeight="1">
      <c r="D288" s="21"/>
      <c r="E288" s="21"/>
    </row>
    <row r="289" spans="4:5" ht="15.75" customHeight="1">
      <c r="D289" s="21"/>
      <c r="E289" s="21"/>
    </row>
    <row r="290" spans="4:5" ht="15.75" customHeight="1">
      <c r="D290" s="21"/>
      <c r="E290" s="21"/>
    </row>
    <row r="291" spans="4:5" ht="15.75" customHeight="1">
      <c r="D291" s="21"/>
      <c r="E291" s="21"/>
    </row>
    <row r="292" spans="4:5" ht="15.75" customHeight="1">
      <c r="D292" s="21"/>
      <c r="E292" s="21"/>
    </row>
    <row r="293" spans="4:5" ht="15.75" customHeight="1">
      <c r="D293" s="21"/>
      <c r="E293" s="21"/>
    </row>
    <row r="294" spans="4:5" ht="15.75" customHeight="1">
      <c r="D294" s="21"/>
      <c r="E294" s="21"/>
    </row>
    <row r="295" spans="4:5" ht="15.75" customHeight="1">
      <c r="D295" s="21"/>
      <c r="E295" s="21"/>
    </row>
    <row r="296" spans="4:5" ht="15.75" customHeight="1">
      <c r="D296" s="21"/>
      <c r="E296" s="21"/>
    </row>
    <row r="297" spans="4:5" ht="15.75" customHeight="1">
      <c r="D297" s="21"/>
      <c r="E297" s="21"/>
    </row>
    <row r="298" spans="4:5" ht="15.75" customHeight="1">
      <c r="D298" s="21"/>
      <c r="E298" s="21"/>
    </row>
    <row r="299" spans="4:5" ht="15.75" customHeight="1">
      <c r="D299" s="21"/>
      <c r="E299" s="21"/>
    </row>
    <row r="300" spans="4:5" ht="15.75" customHeight="1">
      <c r="D300" s="21"/>
      <c r="E300" s="21"/>
    </row>
    <row r="301" spans="4:5" ht="15.75" customHeight="1">
      <c r="D301" s="21"/>
      <c r="E301" s="21"/>
    </row>
    <row r="302" spans="4:5" ht="15.75" customHeight="1">
      <c r="D302" s="21"/>
      <c r="E302" s="21"/>
    </row>
    <row r="303" spans="4:5" ht="15.75" customHeight="1">
      <c r="D303" s="21"/>
      <c r="E303" s="21"/>
    </row>
    <row r="304" spans="4:5" ht="15.75" customHeight="1">
      <c r="D304" s="21"/>
      <c r="E304" s="21"/>
    </row>
    <row r="305" spans="4:5" ht="15.75" customHeight="1">
      <c r="D305" s="21"/>
      <c r="E305" s="21"/>
    </row>
    <row r="306" spans="4:5" ht="15.75" customHeight="1">
      <c r="D306" s="21"/>
      <c r="E306" s="21"/>
    </row>
    <row r="307" spans="4:5" ht="15.75" customHeight="1">
      <c r="D307" s="21"/>
      <c r="E307" s="21"/>
    </row>
    <row r="308" spans="4:5" ht="15.75" customHeight="1">
      <c r="D308" s="21"/>
      <c r="E308" s="21"/>
    </row>
    <row r="309" spans="4:5" ht="15.75" customHeight="1">
      <c r="D309" s="21"/>
      <c r="E309" s="21"/>
    </row>
    <row r="310" spans="4:5" ht="15.75" customHeight="1">
      <c r="D310" s="21"/>
      <c r="E310" s="21"/>
    </row>
    <row r="311" spans="4:5" ht="15.75" customHeight="1">
      <c r="D311" s="21"/>
      <c r="E311" s="21"/>
    </row>
    <row r="312" spans="4:5" ht="15.75" customHeight="1">
      <c r="D312" s="21"/>
      <c r="E312" s="21"/>
    </row>
    <row r="313" spans="4:5" ht="15.75" customHeight="1">
      <c r="D313" s="21"/>
      <c r="E313" s="21"/>
    </row>
    <row r="314" spans="4:5" ht="15.75" customHeight="1">
      <c r="D314" s="21"/>
      <c r="E314" s="21"/>
    </row>
    <row r="315" spans="4:5" ht="15.75" customHeight="1">
      <c r="D315" s="21"/>
      <c r="E315" s="21"/>
    </row>
    <row r="316" spans="4:5" ht="15.75" customHeight="1">
      <c r="D316" s="21"/>
      <c r="E316" s="21"/>
    </row>
    <row r="317" spans="4:5" ht="15.75" customHeight="1">
      <c r="D317" s="21"/>
      <c r="E317" s="21"/>
    </row>
    <row r="318" spans="4:5" ht="15.75" customHeight="1">
      <c r="D318" s="21"/>
      <c r="E318" s="21"/>
    </row>
    <row r="319" spans="4:5" ht="15.75" customHeight="1">
      <c r="D319" s="21"/>
      <c r="E319" s="21"/>
    </row>
    <row r="320" spans="4:5" ht="15.75" customHeight="1">
      <c r="D320" s="21"/>
      <c r="E320" s="21"/>
    </row>
    <row r="321" spans="4:5" ht="15.75" customHeight="1">
      <c r="D321" s="21"/>
      <c r="E321" s="21"/>
    </row>
    <row r="322" spans="4:5" ht="15.75" customHeight="1">
      <c r="D322" s="21"/>
      <c r="E322" s="21"/>
    </row>
    <row r="323" spans="4:5" ht="15.75" customHeight="1">
      <c r="D323" s="21"/>
      <c r="E323" s="21"/>
    </row>
    <row r="324" spans="4:5" ht="15.75" customHeight="1">
      <c r="D324" s="21"/>
      <c r="E324" s="21"/>
    </row>
    <row r="325" spans="4:5" ht="15.75" customHeight="1">
      <c r="D325" s="21"/>
      <c r="E325" s="21"/>
    </row>
    <row r="326" spans="4:5" ht="15.75" customHeight="1">
      <c r="D326" s="21"/>
      <c r="E326" s="21"/>
    </row>
    <row r="327" spans="4:5" ht="15.75" customHeight="1">
      <c r="D327" s="21"/>
      <c r="E327" s="21"/>
    </row>
    <row r="328" spans="4:5" ht="15.75" customHeight="1">
      <c r="D328" s="21"/>
      <c r="E328" s="21"/>
    </row>
    <row r="329" spans="4:5" ht="15.75" customHeight="1">
      <c r="D329" s="21"/>
      <c r="E329" s="21"/>
    </row>
    <row r="330" spans="4:5" ht="15.75" customHeight="1">
      <c r="D330" s="21"/>
      <c r="E330" s="21"/>
    </row>
    <row r="331" spans="4:5" ht="15.75" customHeight="1">
      <c r="D331" s="21"/>
      <c r="E331" s="21"/>
    </row>
    <row r="332" spans="4:5" ht="15.75" customHeight="1">
      <c r="D332" s="21"/>
      <c r="E332" s="21"/>
    </row>
    <row r="333" spans="4:5" ht="15.75" customHeight="1">
      <c r="D333" s="21"/>
      <c r="E333" s="21"/>
    </row>
    <row r="334" spans="4:5" ht="15.75" customHeight="1">
      <c r="D334" s="21"/>
      <c r="E334" s="21"/>
    </row>
    <row r="335" spans="4:5" ht="15.75" customHeight="1">
      <c r="D335" s="21"/>
      <c r="E335" s="21"/>
    </row>
    <row r="336" spans="4:5" ht="15.75" customHeight="1">
      <c r="D336" s="21"/>
      <c r="E336" s="21"/>
    </row>
    <row r="337" spans="4:5" ht="15.75" customHeight="1">
      <c r="D337" s="21"/>
      <c r="E337" s="21"/>
    </row>
    <row r="338" spans="4:5" ht="15.75" customHeight="1">
      <c r="D338" s="21"/>
      <c r="E338" s="21"/>
    </row>
    <row r="339" spans="4:5" ht="15.75" customHeight="1">
      <c r="D339" s="21"/>
      <c r="E339" s="21"/>
    </row>
    <row r="340" spans="4:5" ht="15.75" customHeight="1">
      <c r="D340" s="21"/>
      <c r="E340" s="21"/>
    </row>
    <row r="341" spans="4:5" ht="15.75" customHeight="1">
      <c r="D341" s="21"/>
      <c r="E341" s="21"/>
    </row>
    <row r="342" spans="4:5" ht="15.75" customHeight="1">
      <c r="D342" s="21"/>
      <c r="E342" s="21"/>
    </row>
    <row r="343" spans="4:5" ht="15.75" customHeight="1">
      <c r="D343" s="21"/>
      <c r="E343" s="21"/>
    </row>
    <row r="344" spans="4:5" ht="15.75" customHeight="1">
      <c r="D344" s="21"/>
      <c r="E344" s="21"/>
    </row>
    <row r="345" spans="4:5" ht="15.75" customHeight="1">
      <c r="D345" s="21"/>
      <c r="E345" s="21"/>
    </row>
    <row r="346" spans="4:5" ht="15.75" customHeight="1">
      <c r="D346" s="21"/>
      <c r="E346" s="21"/>
    </row>
    <row r="347" spans="4:5" ht="15.75" customHeight="1">
      <c r="D347" s="21"/>
      <c r="E347" s="21"/>
    </row>
    <row r="348" spans="4:5" ht="15.75" customHeight="1">
      <c r="D348" s="21"/>
      <c r="E348" s="21"/>
    </row>
    <row r="349" spans="4:5" ht="15.75" customHeight="1">
      <c r="D349" s="21"/>
      <c r="E349" s="21"/>
    </row>
    <row r="350" spans="4:5" ht="15.75" customHeight="1">
      <c r="D350" s="21"/>
      <c r="E350" s="21"/>
    </row>
    <row r="351" spans="4:5" ht="15.75" customHeight="1">
      <c r="D351" s="21"/>
      <c r="E351" s="21"/>
    </row>
    <row r="352" spans="4:5" ht="15.75" customHeight="1">
      <c r="D352" s="21"/>
      <c r="E352" s="21"/>
    </row>
    <row r="353" spans="4:5" ht="15.75" customHeight="1">
      <c r="D353" s="21"/>
      <c r="E353" s="21"/>
    </row>
    <row r="354" spans="4:5" ht="15.75" customHeight="1">
      <c r="D354" s="21"/>
      <c r="E354" s="21"/>
    </row>
    <row r="355" spans="4:5" ht="15.75" customHeight="1">
      <c r="D355" s="21"/>
      <c r="E355" s="21"/>
    </row>
    <row r="356" spans="4:5" ht="15.75" customHeight="1">
      <c r="D356" s="21"/>
      <c r="E356" s="21"/>
    </row>
    <row r="357" spans="4:5" ht="15.75" customHeight="1">
      <c r="D357" s="21"/>
      <c r="E357" s="21"/>
    </row>
    <row r="358" spans="4:5" ht="15.75" customHeight="1">
      <c r="D358" s="21"/>
      <c r="E358" s="21"/>
    </row>
    <row r="359" spans="4:5" ht="15.75" customHeight="1">
      <c r="D359" s="21"/>
      <c r="E359" s="21"/>
    </row>
    <row r="360" spans="4:5" ht="15.75" customHeight="1">
      <c r="D360" s="21"/>
      <c r="E360" s="21"/>
    </row>
    <row r="361" spans="4:5" ht="15.75" customHeight="1">
      <c r="D361" s="21"/>
      <c r="E361" s="21"/>
    </row>
    <row r="362" spans="4:5" ht="15.75" customHeight="1">
      <c r="D362" s="21"/>
      <c r="E362" s="21"/>
    </row>
    <row r="363" spans="4:5" ht="15.75" customHeight="1">
      <c r="D363" s="21"/>
      <c r="E363" s="21"/>
    </row>
    <row r="364" spans="4:5" ht="15.75" customHeight="1">
      <c r="D364" s="21"/>
      <c r="E364" s="21"/>
    </row>
    <row r="365" spans="4:5" ht="15.75" customHeight="1">
      <c r="D365" s="21"/>
      <c r="E365" s="21"/>
    </row>
    <row r="366" spans="4:5" ht="15.75" customHeight="1">
      <c r="D366" s="21"/>
      <c r="E366" s="21"/>
    </row>
    <row r="367" spans="4:5" ht="15.75" customHeight="1">
      <c r="D367" s="21"/>
      <c r="E367" s="21"/>
    </row>
    <row r="368" spans="4:5" ht="15.75" customHeight="1">
      <c r="D368" s="21"/>
      <c r="E368" s="21"/>
    </row>
    <row r="369" spans="4:5" ht="15.75" customHeight="1">
      <c r="D369" s="21"/>
      <c r="E369" s="21"/>
    </row>
    <row r="370" spans="4:5" ht="15.75" customHeight="1">
      <c r="D370" s="21"/>
      <c r="E370" s="21"/>
    </row>
    <row r="371" spans="4:5" ht="15.75" customHeight="1">
      <c r="D371" s="21"/>
      <c r="E371" s="21"/>
    </row>
    <row r="372" spans="4:5" ht="15.75" customHeight="1">
      <c r="D372" s="21"/>
      <c r="E372" s="21"/>
    </row>
    <row r="373" spans="4:5" ht="15.75" customHeight="1">
      <c r="D373" s="21"/>
      <c r="E373" s="21"/>
    </row>
    <row r="374" spans="4:5" ht="15.75" customHeight="1">
      <c r="D374" s="21"/>
      <c r="E374" s="21"/>
    </row>
    <row r="375" spans="4:5" ht="15.75" customHeight="1">
      <c r="D375" s="21"/>
      <c r="E375" s="21"/>
    </row>
    <row r="376" spans="4:5" ht="15.75" customHeight="1">
      <c r="D376" s="21"/>
      <c r="E376" s="21"/>
    </row>
    <row r="377" spans="4:5" ht="15.75" customHeight="1">
      <c r="D377" s="21"/>
      <c r="E377" s="21"/>
    </row>
    <row r="378" spans="4:5" ht="15.75" customHeight="1">
      <c r="D378" s="21"/>
      <c r="E378" s="21"/>
    </row>
    <row r="379" spans="4:5" ht="15.75" customHeight="1">
      <c r="D379" s="21"/>
      <c r="E379" s="21"/>
    </row>
    <row r="380" spans="4:5" ht="15.75" customHeight="1">
      <c r="D380" s="21"/>
      <c r="E380" s="21"/>
    </row>
    <row r="381" spans="4:5" ht="15.75" customHeight="1">
      <c r="D381" s="21"/>
      <c r="E381" s="21"/>
    </row>
    <row r="382" spans="4:5" ht="15.75" customHeight="1">
      <c r="D382" s="21"/>
      <c r="E382" s="21"/>
    </row>
    <row r="383" spans="4:5" ht="15.75" customHeight="1">
      <c r="D383" s="21"/>
      <c r="E383" s="21"/>
    </row>
    <row r="384" spans="4:5" ht="15.75" customHeight="1">
      <c r="D384" s="21"/>
      <c r="E384" s="21"/>
    </row>
    <row r="385" spans="4:5" ht="15.75" customHeight="1">
      <c r="D385" s="21"/>
      <c r="E385" s="21"/>
    </row>
    <row r="386" spans="4:5" ht="15.75" customHeight="1">
      <c r="D386" s="21"/>
      <c r="E386" s="21"/>
    </row>
    <row r="387" spans="4:5" ht="15.75" customHeight="1">
      <c r="D387" s="21"/>
      <c r="E387" s="21"/>
    </row>
    <row r="388" spans="4:5" ht="15.75" customHeight="1">
      <c r="D388" s="21"/>
      <c r="E388" s="21"/>
    </row>
    <row r="389" spans="4:5" ht="15.75" customHeight="1">
      <c r="D389" s="21"/>
      <c r="E389" s="21"/>
    </row>
    <row r="390" spans="4:5" ht="15.75" customHeight="1">
      <c r="D390" s="21"/>
      <c r="E390" s="21"/>
    </row>
    <row r="391" spans="4:5" ht="15.75" customHeight="1">
      <c r="D391" s="21"/>
      <c r="E391" s="21"/>
    </row>
    <row r="392" spans="4:5" ht="15.75" customHeight="1">
      <c r="D392" s="21"/>
      <c r="E392" s="21"/>
    </row>
    <row r="393" spans="4:5" ht="15.75" customHeight="1">
      <c r="D393" s="21"/>
      <c r="E393" s="21"/>
    </row>
    <row r="394" spans="4:5" ht="15.75" customHeight="1">
      <c r="D394" s="21"/>
      <c r="E394" s="21"/>
    </row>
    <row r="395" spans="4:5" ht="15.75" customHeight="1">
      <c r="D395" s="21"/>
      <c r="E395" s="21"/>
    </row>
    <row r="396" spans="4:5" ht="15.75" customHeight="1">
      <c r="D396" s="21"/>
      <c r="E396" s="21"/>
    </row>
    <row r="397" spans="4:5" ht="15.75" customHeight="1">
      <c r="D397" s="21"/>
      <c r="E397" s="21"/>
    </row>
    <row r="398" spans="4:5" ht="15.75" customHeight="1">
      <c r="D398" s="21"/>
      <c r="E398" s="21"/>
    </row>
    <row r="399" spans="4:5" ht="15.75" customHeight="1">
      <c r="D399" s="21"/>
      <c r="E399" s="21"/>
    </row>
    <row r="400" spans="4:5" ht="15.75" customHeight="1">
      <c r="D400" s="21"/>
      <c r="E400" s="21"/>
    </row>
    <row r="401" spans="4:5" ht="15.75" customHeight="1">
      <c r="D401" s="21"/>
      <c r="E401" s="21"/>
    </row>
    <row r="402" spans="4:5" ht="15.75" customHeight="1">
      <c r="D402" s="21"/>
      <c r="E402" s="21"/>
    </row>
    <row r="403" spans="4:5" ht="15.75" customHeight="1">
      <c r="D403" s="21"/>
      <c r="E403" s="21"/>
    </row>
    <row r="404" spans="4:5" ht="15.75" customHeight="1">
      <c r="D404" s="21"/>
      <c r="E404" s="21"/>
    </row>
    <row r="405" spans="4:5" ht="15.75" customHeight="1">
      <c r="D405" s="21"/>
      <c r="E405" s="21"/>
    </row>
    <row r="406" spans="4:5" ht="15.75" customHeight="1">
      <c r="D406" s="21"/>
      <c r="E406" s="21"/>
    </row>
    <row r="407" spans="4:5" ht="15.75" customHeight="1">
      <c r="D407" s="21"/>
      <c r="E407" s="21"/>
    </row>
    <row r="408" spans="4:5" ht="15.75" customHeight="1">
      <c r="D408" s="21"/>
      <c r="E408" s="21"/>
    </row>
    <row r="409" spans="4:5" ht="15.75" customHeight="1">
      <c r="D409" s="21"/>
      <c r="E409" s="21"/>
    </row>
    <row r="410" spans="4:5" ht="15.75" customHeight="1">
      <c r="D410" s="21"/>
      <c r="E410" s="21"/>
    </row>
    <row r="411" spans="4:5" ht="15.75" customHeight="1">
      <c r="D411" s="21"/>
      <c r="E411" s="21"/>
    </row>
    <row r="412" spans="4:5" ht="15.75" customHeight="1">
      <c r="D412" s="21"/>
      <c r="E412" s="21"/>
    </row>
    <row r="413" spans="4:5" ht="15.75" customHeight="1">
      <c r="D413" s="21"/>
      <c r="E413" s="21"/>
    </row>
    <row r="414" spans="4:5" ht="15.75" customHeight="1">
      <c r="D414" s="21"/>
      <c r="E414" s="21"/>
    </row>
    <row r="415" spans="4:5" ht="15.75" customHeight="1">
      <c r="D415" s="21"/>
      <c r="E415" s="21"/>
    </row>
    <row r="416" spans="4:5" ht="15.75" customHeight="1">
      <c r="D416" s="21"/>
      <c r="E416" s="21"/>
    </row>
    <row r="417" spans="4:5" ht="15.75" customHeight="1">
      <c r="D417" s="21"/>
      <c r="E417" s="21"/>
    </row>
    <row r="418" spans="4:5" ht="15.75" customHeight="1">
      <c r="D418" s="21"/>
      <c r="E418" s="21"/>
    </row>
    <row r="419" spans="4:5" ht="15.75" customHeight="1">
      <c r="D419" s="21"/>
      <c r="E419" s="21"/>
    </row>
    <row r="420" spans="4:5" ht="15.75" customHeight="1">
      <c r="D420" s="21"/>
      <c r="E420" s="21"/>
    </row>
    <row r="421" spans="4:5" ht="15.75" customHeight="1">
      <c r="D421" s="21"/>
      <c r="E421" s="21"/>
    </row>
    <row r="422" spans="4:5" ht="15.75" customHeight="1">
      <c r="D422" s="21"/>
      <c r="E422" s="21"/>
    </row>
    <row r="423" spans="4:5" ht="15.75" customHeight="1">
      <c r="D423" s="21"/>
      <c r="E423" s="21"/>
    </row>
    <row r="424" spans="4:5" ht="15.75" customHeight="1">
      <c r="D424" s="21"/>
      <c r="E424" s="21"/>
    </row>
    <row r="425" spans="4:5" ht="15.75" customHeight="1">
      <c r="D425" s="21"/>
      <c r="E425" s="21"/>
    </row>
    <row r="426" spans="4:5" ht="15.75" customHeight="1">
      <c r="D426" s="21"/>
      <c r="E426" s="21"/>
    </row>
    <row r="427" spans="4:5" ht="15.75" customHeight="1">
      <c r="D427" s="21"/>
      <c r="E427" s="21"/>
    </row>
    <row r="428" spans="4:5" ht="15.75" customHeight="1">
      <c r="D428" s="21"/>
      <c r="E428" s="21"/>
    </row>
    <row r="429" spans="4:5" ht="15.75" customHeight="1">
      <c r="D429" s="21"/>
      <c r="E429" s="21"/>
    </row>
    <row r="430" spans="4:5" ht="15.75" customHeight="1">
      <c r="D430" s="21"/>
      <c r="E430" s="21"/>
    </row>
    <row r="431" spans="4:5" ht="15.75" customHeight="1">
      <c r="D431" s="21"/>
      <c r="E431" s="21"/>
    </row>
    <row r="432" spans="4:5" ht="15.75" customHeight="1">
      <c r="D432" s="21"/>
      <c r="E432" s="21"/>
    </row>
    <row r="433" spans="4:5" ht="15.75" customHeight="1">
      <c r="D433" s="21"/>
      <c r="E433" s="21"/>
    </row>
    <row r="434" spans="4:5" ht="15.75" customHeight="1">
      <c r="D434" s="21"/>
      <c r="E434" s="21"/>
    </row>
    <row r="435" spans="4:5" ht="15.75" customHeight="1">
      <c r="D435" s="21"/>
      <c r="E435" s="21"/>
    </row>
    <row r="436" spans="4:5" ht="15.75" customHeight="1">
      <c r="D436" s="21"/>
      <c r="E436" s="21"/>
    </row>
    <row r="437" spans="4:5" ht="15.75" customHeight="1">
      <c r="D437" s="21"/>
      <c r="E437" s="21"/>
    </row>
    <row r="438" spans="4:5" ht="15.75" customHeight="1">
      <c r="D438" s="21"/>
      <c r="E438" s="21"/>
    </row>
    <row r="439" spans="4:5" ht="15.75" customHeight="1">
      <c r="D439" s="21"/>
      <c r="E439" s="21"/>
    </row>
    <row r="440" spans="4:5" ht="15.75" customHeight="1">
      <c r="D440" s="21"/>
      <c r="E440" s="21"/>
    </row>
    <row r="441" spans="4:5" ht="15.75" customHeight="1">
      <c r="D441" s="21"/>
      <c r="E441" s="21"/>
    </row>
    <row r="442" spans="4:5" ht="15.75" customHeight="1">
      <c r="D442" s="21"/>
      <c r="E442" s="21"/>
    </row>
    <row r="443" spans="4:5" ht="15.75" customHeight="1">
      <c r="D443" s="21"/>
      <c r="E443" s="21"/>
    </row>
    <row r="444" spans="4:5" ht="15.75" customHeight="1">
      <c r="D444" s="21"/>
      <c r="E444" s="21"/>
    </row>
    <row r="445" spans="4:5" ht="15.75" customHeight="1">
      <c r="D445" s="21"/>
      <c r="E445" s="21"/>
    </row>
    <row r="446" spans="4:5" ht="15.75" customHeight="1">
      <c r="D446" s="21"/>
      <c r="E446" s="21"/>
    </row>
    <row r="447" spans="4:5" ht="15.75" customHeight="1">
      <c r="D447" s="21"/>
      <c r="E447" s="21"/>
    </row>
    <row r="448" spans="4:5" ht="15.75" customHeight="1">
      <c r="D448" s="21"/>
      <c r="E448" s="21"/>
    </row>
    <row r="449" spans="4:5" ht="15.75" customHeight="1">
      <c r="D449" s="21"/>
      <c r="E449" s="21"/>
    </row>
    <row r="450" spans="4:5" ht="15.75" customHeight="1">
      <c r="D450" s="21"/>
      <c r="E450" s="21"/>
    </row>
    <row r="451" spans="4:5" ht="15.75" customHeight="1">
      <c r="D451" s="21"/>
      <c r="E451" s="21"/>
    </row>
    <row r="452" spans="4:5" ht="15.75" customHeight="1">
      <c r="D452" s="21"/>
      <c r="E452" s="21"/>
    </row>
    <row r="453" spans="4:5" ht="15.75" customHeight="1">
      <c r="D453" s="21"/>
      <c r="E453" s="21"/>
    </row>
    <row r="454" spans="4:5" ht="15.75" customHeight="1">
      <c r="D454" s="21"/>
      <c r="E454" s="21"/>
    </row>
    <row r="455" spans="4:5" ht="15.75" customHeight="1">
      <c r="D455" s="21"/>
      <c r="E455" s="21"/>
    </row>
    <row r="456" spans="4:5" ht="15.75" customHeight="1">
      <c r="D456" s="21"/>
      <c r="E456" s="21"/>
    </row>
    <row r="457" spans="4:5" ht="15.75" customHeight="1">
      <c r="D457" s="21"/>
      <c r="E457" s="21"/>
    </row>
    <row r="458" spans="4:5" ht="15.75" customHeight="1">
      <c r="D458" s="21"/>
      <c r="E458" s="21"/>
    </row>
    <row r="459" spans="4:5" ht="15.75" customHeight="1">
      <c r="D459" s="21"/>
      <c r="E459" s="21"/>
    </row>
    <row r="460" spans="4:5" ht="15.75" customHeight="1">
      <c r="D460" s="21"/>
      <c r="E460" s="21"/>
    </row>
    <row r="461" spans="4:5" ht="15.75" customHeight="1">
      <c r="D461" s="21"/>
      <c r="E461" s="21"/>
    </row>
    <row r="462" spans="4:5" ht="15.75" customHeight="1">
      <c r="D462" s="21"/>
      <c r="E462" s="21"/>
    </row>
    <row r="463" spans="4:5" ht="15.75" customHeight="1">
      <c r="D463" s="21"/>
      <c r="E463" s="21"/>
    </row>
    <row r="464" spans="4:5" ht="15.75" customHeight="1">
      <c r="D464" s="21"/>
      <c r="E464" s="21"/>
    </row>
    <row r="465" spans="4:5" ht="15.75" customHeight="1">
      <c r="D465" s="21"/>
      <c r="E465" s="21"/>
    </row>
    <row r="466" spans="4:5" ht="15.75" customHeight="1">
      <c r="D466" s="21"/>
      <c r="E466" s="21"/>
    </row>
    <row r="467" spans="4:5" ht="15.75" customHeight="1">
      <c r="D467" s="21"/>
      <c r="E467" s="21"/>
    </row>
    <row r="468" spans="4:5" ht="15.75" customHeight="1">
      <c r="D468" s="21"/>
      <c r="E468" s="21"/>
    </row>
    <row r="469" spans="4:5" ht="15.75" customHeight="1">
      <c r="D469" s="21"/>
      <c r="E469" s="21"/>
    </row>
    <row r="470" spans="4:5" ht="15.75" customHeight="1">
      <c r="D470" s="21"/>
      <c r="E470" s="21"/>
    </row>
    <row r="471" spans="4:5" ht="15.75" customHeight="1">
      <c r="D471" s="21"/>
      <c r="E471" s="21"/>
    </row>
    <row r="472" spans="4:5" ht="15.75" customHeight="1">
      <c r="D472" s="21"/>
      <c r="E472" s="21"/>
    </row>
    <row r="473" spans="4:5" ht="15.75" customHeight="1">
      <c r="D473" s="21"/>
      <c r="E473" s="21"/>
    </row>
    <row r="474" spans="4:5" ht="15.75" customHeight="1">
      <c r="D474" s="21"/>
      <c r="E474" s="21"/>
    </row>
    <row r="475" spans="4:5" ht="15.75" customHeight="1">
      <c r="D475" s="21"/>
      <c r="E475" s="21"/>
    </row>
    <row r="476" spans="4:5" ht="15.75" customHeight="1">
      <c r="D476" s="21"/>
      <c r="E476" s="21"/>
    </row>
    <row r="477" spans="4:5" ht="15.75" customHeight="1">
      <c r="D477" s="21"/>
      <c r="E477" s="21"/>
    </row>
    <row r="478" spans="4:5" ht="15.75" customHeight="1">
      <c r="D478" s="21"/>
      <c r="E478" s="21"/>
    </row>
    <row r="479" spans="4:5" ht="15.75" customHeight="1">
      <c r="D479" s="21"/>
      <c r="E479" s="21"/>
    </row>
    <row r="480" spans="4:5" ht="15.75" customHeight="1">
      <c r="D480" s="21"/>
      <c r="E480" s="21"/>
    </row>
    <row r="481" spans="4:5" ht="15.75" customHeight="1">
      <c r="D481" s="21"/>
      <c r="E481" s="21"/>
    </row>
    <row r="482" spans="4:5" ht="15.75" customHeight="1">
      <c r="D482" s="21"/>
      <c r="E482" s="21"/>
    </row>
    <row r="483" spans="4:5" ht="15.75" customHeight="1">
      <c r="D483" s="21"/>
      <c r="E483" s="21"/>
    </row>
    <row r="484" spans="4:5" ht="15.75" customHeight="1">
      <c r="D484" s="21"/>
      <c r="E484" s="21"/>
    </row>
    <row r="485" spans="4:5" ht="15.75" customHeight="1">
      <c r="D485" s="21"/>
      <c r="E485" s="21"/>
    </row>
    <row r="486" spans="4:5" ht="15.75" customHeight="1">
      <c r="D486" s="21"/>
      <c r="E486" s="21"/>
    </row>
    <row r="487" spans="4:5" ht="15.75" customHeight="1">
      <c r="D487" s="21"/>
      <c r="E487" s="21"/>
    </row>
    <row r="488" spans="4:5" ht="15.75" customHeight="1">
      <c r="D488" s="21"/>
      <c r="E488" s="21"/>
    </row>
    <row r="489" spans="4:5" ht="15.75" customHeight="1">
      <c r="D489" s="21"/>
      <c r="E489" s="21"/>
    </row>
    <row r="490" spans="4:5" ht="15.75" customHeight="1">
      <c r="D490" s="21"/>
      <c r="E490" s="21"/>
    </row>
    <row r="491" spans="4:5" ht="15.75" customHeight="1">
      <c r="D491" s="21"/>
      <c r="E491" s="21"/>
    </row>
    <row r="492" spans="4:5" ht="15.75" customHeight="1">
      <c r="D492" s="21"/>
      <c r="E492" s="21"/>
    </row>
    <row r="493" spans="4:5" ht="15.75" customHeight="1">
      <c r="D493" s="21"/>
      <c r="E493" s="21"/>
    </row>
    <row r="494" spans="4:5" ht="15.75" customHeight="1">
      <c r="D494" s="21"/>
      <c r="E494" s="21"/>
    </row>
    <row r="495" spans="4:5" ht="15.75" customHeight="1">
      <c r="D495" s="21"/>
      <c r="E495" s="21"/>
    </row>
    <row r="496" spans="4:5" ht="15.75" customHeight="1">
      <c r="D496" s="21"/>
      <c r="E496" s="21"/>
    </row>
    <row r="497" spans="4:5" ht="15.75" customHeight="1">
      <c r="D497" s="21"/>
      <c r="E497" s="21"/>
    </row>
    <row r="498" spans="4:5" ht="15.75" customHeight="1">
      <c r="D498" s="21"/>
      <c r="E498" s="21"/>
    </row>
    <row r="499" spans="4:5" ht="15.75" customHeight="1">
      <c r="D499" s="21"/>
      <c r="E499" s="21"/>
    </row>
    <row r="500" spans="4:5" ht="15.75" customHeight="1">
      <c r="D500" s="21"/>
      <c r="E500" s="21"/>
    </row>
    <row r="501" spans="4:5" ht="15.75" customHeight="1">
      <c r="D501" s="21"/>
      <c r="E501" s="21"/>
    </row>
    <row r="502" spans="4:5" ht="15.75" customHeight="1">
      <c r="D502" s="21"/>
      <c r="E502" s="21"/>
    </row>
    <row r="503" spans="4:5" ht="15.75" customHeight="1">
      <c r="D503" s="21"/>
      <c r="E503" s="21"/>
    </row>
    <row r="504" spans="4:5" ht="15.75" customHeight="1">
      <c r="D504" s="21"/>
      <c r="E504" s="21"/>
    </row>
    <row r="505" spans="4:5" ht="15.75" customHeight="1">
      <c r="D505" s="21"/>
      <c r="E505" s="21"/>
    </row>
    <row r="506" spans="4:5" ht="15.75" customHeight="1">
      <c r="D506" s="21"/>
      <c r="E506" s="21"/>
    </row>
    <row r="507" spans="4:5" ht="15.75" customHeight="1">
      <c r="D507" s="21"/>
      <c r="E507" s="21"/>
    </row>
    <row r="508" spans="4:5" ht="15.75" customHeight="1">
      <c r="D508" s="21"/>
      <c r="E508" s="21"/>
    </row>
    <row r="509" spans="4:5" ht="15.75" customHeight="1">
      <c r="D509" s="21"/>
      <c r="E509" s="21"/>
    </row>
    <row r="510" spans="4:5" ht="15.75" customHeight="1">
      <c r="D510" s="21"/>
      <c r="E510" s="21"/>
    </row>
    <row r="511" spans="4:5" ht="15.75" customHeight="1">
      <c r="D511" s="21"/>
      <c r="E511" s="21"/>
    </row>
    <row r="512" spans="4:5" ht="15.75" customHeight="1">
      <c r="D512" s="21"/>
      <c r="E512" s="21"/>
    </row>
    <row r="513" spans="4:5" ht="15.75" customHeight="1">
      <c r="D513" s="21"/>
      <c r="E513" s="21"/>
    </row>
    <row r="514" spans="4:5" ht="15.75" customHeight="1">
      <c r="D514" s="21"/>
      <c r="E514" s="21"/>
    </row>
    <row r="515" spans="4:5" ht="15.75" customHeight="1">
      <c r="D515" s="21"/>
      <c r="E515" s="21"/>
    </row>
    <row r="516" spans="4:5" ht="15.75" customHeight="1">
      <c r="D516" s="21"/>
      <c r="E516" s="21"/>
    </row>
    <row r="517" spans="4:5" ht="15.75" customHeight="1">
      <c r="D517" s="21"/>
      <c r="E517" s="21"/>
    </row>
    <row r="518" spans="4:5" ht="15.75" customHeight="1">
      <c r="D518" s="21"/>
      <c r="E518" s="21"/>
    </row>
    <row r="519" spans="4:5" ht="15.75" customHeight="1">
      <c r="D519" s="21"/>
      <c r="E519" s="21"/>
    </row>
    <row r="520" spans="4:5" ht="15.75" customHeight="1">
      <c r="D520" s="21"/>
      <c r="E520" s="21"/>
    </row>
    <row r="521" spans="4:5" ht="15.75" customHeight="1">
      <c r="D521" s="21"/>
      <c r="E521" s="21"/>
    </row>
    <row r="522" spans="4:5" ht="15.75" customHeight="1">
      <c r="D522" s="21"/>
      <c r="E522" s="21"/>
    </row>
    <row r="523" spans="4:5" ht="15.75" customHeight="1">
      <c r="D523" s="21"/>
      <c r="E523" s="21"/>
    </row>
    <row r="524" spans="4:5" ht="15.75" customHeight="1">
      <c r="D524" s="21"/>
      <c r="E524" s="21"/>
    </row>
    <row r="525" spans="4:5" ht="15.75" customHeight="1">
      <c r="D525" s="21"/>
      <c r="E525" s="21"/>
    </row>
    <row r="526" spans="4:5" ht="15.75" customHeight="1">
      <c r="D526" s="21"/>
      <c r="E526" s="21"/>
    </row>
    <row r="527" spans="4:5" ht="15.75" customHeight="1">
      <c r="D527" s="21"/>
      <c r="E527" s="21"/>
    </row>
    <row r="528" spans="4:5" ht="15.75" customHeight="1">
      <c r="D528" s="21"/>
      <c r="E528" s="21"/>
    </row>
    <row r="529" spans="4:5" ht="15.75" customHeight="1">
      <c r="D529" s="21"/>
      <c r="E529" s="21"/>
    </row>
    <row r="530" spans="4:5" ht="15.75" customHeight="1">
      <c r="D530" s="21"/>
      <c r="E530" s="21"/>
    </row>
    <row r="531" spans="4:5" ht="15.75" customHeight="1">
      <c r="D531" s="21"/>
      <c r="E531" s="21"/>
    </row>
    <row r="532" spans="4:5" ht="15.75" customHeight="1">
      <c r="D532" s="21"/>
      <c r="E532" s="21"/>
    </row>
    <row r="533" spans="4:5" ht="15.75" customHeight="1">
      <c r="D533" s="21"/>
      <c r="E533" s="21"/>
    </row>
    <row r="534" spans="4:5" ht="15.75" customHeight="1">
      <c r="D534" s="21"/>
      <c r="E534" s="21"/>
    </row>
    <row r="535" spans="4:5" ht="15.75" customHeight="1">
      <c r="D535" s="21"/>
      <c r="E535" s="21"/>
    </row>
    <row r="536" spans="4:5" ht="15.75" customHeight="1">
      <c r="D536" s="21"/>
      <c r="E536" s="21"/>
    </row>
    <row r="537" spans="4:5" ht="15.75" customHeight="1">
      <c r="D537" s="21"/>
      <c r="E537" s="21"/>
    </row>
    <row r="538" spans="4:5" ht="15.75" customHeight="1">
      <c r="D538" s="21"/>
      <c r="E538" s="21"/>
    </row>
    <row r="539" spans="4:5" ht="15.75" customHeight="1">
      <c r="D539" s="21"/>
      <c r="E539" s="21"/>
    </row>
    <row r="540" spans="4:5" ht="15.75" customHeight="1">
      <c r="D540" s="21"/>
      <c r="E540" s="21"/>
    </row>
    <row r="541" spans="4:5" ht="15.75" customHeight="1">
      <c r="D541" s="21"/>
      <c r="E541" s="21"/>
    </row>
    <row r="542" spans="4:5" ht="15.75" customHeight="1">
      <c r="D542" s="21"/>
      <c r="E542" s="21"/>
    </row>
    <row r="543" spans="4:5" ht="15.75" customHeight="1">
      <c r="D543" s="21"/>
      <c r="E543" s="21"/>
    </row>
    <row r="544" spans="4:5" ht="15.75" customHeight="1">
      <c r="D544" s="21"/>
      <c r="E544" s="21"/>
    </row>
    <row r="545" spans="4:5" ht="15.75" customHeight="1">
      <c r="D545" s="21"/>
      <c r="E545" s="21"/>
    </row>
    <row r="546" spans="4:5" ht="15.75" customHeight="1">
      <c r="D546" s="21"/>
      <c r="E546" s="21"/>
    </row>
    <row r="547" spans="4:5" ht="15.75" customHeight="1">
      <c r="D547" s="21"/>
      <c r="E547" s="21"/>
    </row>
    <row r="548" spans="4:5" ht="15.75" customHeight="1">
      <c r="D548" s="21"/>
      <c r="E548" s="21"/>
    </row>
    <row r="549" spans="4:5" ht="15.75" customHeight="1">
      <c r="D549" s="21"/>
      <c r="E549" s="21"/>
    </row>
    <row r="550" spans="4:5" ht="15.75" customHeight="1">
      <c r="D550" s="21"/>
      <c r="E550" s="21"/>
    </row>
    <row r="551" spans="4:5" ht="15.75" customHeight="1">
      <c r="D551" s="21"/>
      <c r="E551" s="21"/>
    </row>
    <row r="552" spans="4:5" ht="15.75" customHeight="1">
      <c r="D552" s="21"/>
      <c r="E552" s="21"/>
    </row>
    <row r="553" spans="4:5" ht="15.75" customHeight="1">
      <c r="D553" s="21"/>
      <c r="E553" s="21"/>
    </row>
    <row r="554" spans="4:5" ht="15.75" customHeight="1">
      <c r="D554" s="21"/>
      <c r="E554" s="21"/>
    </row>
    <row r="555" spans="4:5" ht="15.75" customHeight="1">
      <c r="D555" s="21"/>
      <c r="E555" s="21"/>
    </row>
    <row r="556" spans="4:5" ht="15.75" customHeight="1">
      <c r="D556" s="21"/>
      <c r="E556" s="21"/>
    </row>
    <row r="557" spans="4:5" ht="15.75" customHeight="1">
      <c r="D557" s="21"/>
      <c r="E557" s="21"/>
    </row>
    <row r="558" spans="4:5" ht="15.75" customHeight="1">
      <c r="D558" s="21"/>
      <c r="E558" s="21"/>
    </row>
    <row r="559" spans="4:5" ht="15.75" customHeight="1">
      <c r="D559" s="21"/>
      <c r="E559" s="21"/>
    </row>
    <row r="560" spans="4:5" ht="15.75" customHeight="1">
      <c r="D560" s="21"/>
      <c r="E560" s="21"/>
    </row>
    <row r="561" spans="4:5" ht="15.75" customHeight="1">
      <c r="D561" s="21"/>
      <c r="E561" s="21"/>
    </row>
    <row r="562" spans="4:5" ht="15.75" customHeight="1">
      <c r="D562" s="21"/>
      <c r="E562" s="21"/>
    </row>
    <row r="563" spans="4:5" ht="15.75" customHeight="1">
      <c r="D563" s="21"/>
      <c r="E563" s="21"/>
    </row>
    <row r="564" spans="4:5" ht="15.75" customHeight="1">
      <c r="D564" s="21"/>
      <c r="E564" s="21"/>
    </row>
    <row r="565" spans="4:5" ht="15.75" customHeight="1">
      <c r="D565" s="21"/>
      <c r="E565" s="21"/>
    </row>
    <row r="566" spans="4:5" ht="15.75" customHeight="1">
      <c r="D566" s="21"/>
      <c r="E566" s="21"/>
    </row>
    <row r="567" spans="4:5" ht="15.75" customHeight="1">
      <c r="D567" s="21"/>
      <c r="E567" s="21"/>
    </row>
    <row r="568" spans="4:5" ht="15.75" customHeight="1">
      <c r="D568" s="21"/>
      <c r="E568" s="21"/>
    </row>
    <row r="569" spans="4:5" ht="15.75" customHeight="1">
      <c r="D569" s="21"/>
      <c r="E569" s="21"/>
    </row>
    <row r="570" spans="4:5" ht="15.75" customHeight="1">
      <c r="D570" s="21"/>
      <c r="E570" s="21"/>
    </row>
    <row r="571" spans="4:5" ht="15.75" customHeight="1">
      <c r="D571" s="21"/>
      <c r="E571" s="21"/>
    </row>
    <row r="572" spans="4:5" ht="15.75" customHeight="1">
      <c r="D572" s="21"/>
      <c r="E572" s="21"/>
    </row>
    <row r="573" spans="4:5" ht="15.75" customHeight="1">
      <c r="D573" s="21"/>
      <c r="E573" s="21"/>
    </row>
    <row r="574" spans="4:5" ht="15.75" customHeight="1">
      <c r="D574" s="21"/>
      <c r="E574" s="21"/>
    </row>
    <row r="575" spans="4:5" ht="15.75" customHeight="1">
      <c r="D575" s="21"/>
      <c r="E575" s="21"/>
    </row>
    <row r="576" spans="4:5" ht="15.75" customHeight="1">
      <c r="D576" s="21"/>
      <c r="E576" s="21"/>
    </row>
    <row r="577" spans="4:5" ht="15.75" customHeight="1">
      <c r="D577" s="21"/>
      <c r="E577" s="21"/>
    </row>
    <row r="578" spans="4:5" ht="15.75" customHeight="1">
      <c r="D578" s="21"/>
      <c r="E578" s="21"/>
    </row>
    <row r="579" spans="4:5" ht="15.75" customHeight="1">
      <c r="D579" s="21"/>
      <c r="E579" s="21"/>
    </row>
    <row r="580" spans="4:5" ht="15.75" customHeight="1">
      <c r="D580" s="21"/>
      <c r="E580" s="21"/>
    </row>
    <row r="581" spans="4:5" ht="15.75" customHeight="1">
      <c r="D581" s="21"/>
      <c r="E581" s="21"/>
    </row>
    <row r="582" spans="4:5" ht="15.75" customHeight="1">
      <c r="D582" s="21"/>
      <c r="E582" s="21"/>
    </row>
    <row r="583" spans="4:5" ht="15.75" customHeight="1">
      <c r="D583" s="21"/>
      <c r="E583" s="21"/>
    </row>
    <row r="584" spans="4:5" ht="15.75" customHeight="1">
      <c r="D584" s="21"/>
      <c r="E584" s="21"/>
    </row>
    <row r="585" spans="4:5" ht="15.75" customHeight="1">
      <c r="D585" s="21"/>
      <c r="E585" s="21"/>
    </row>
    <row r="586" spans="4:5" ht="15.75" customHeight="1">
      <c r="D586" s="21"/>
      <c r="E586" s="21"/>
    </row>
    <row r="587" spans="4:5" ht="15.75" customHeight="1">
      <c r="D587" s="21"/>
      <c r="E587" s="21"/>
    </row>
    <row r="588" spans="4:5" ht="15.75" customHeight="1">
      <c r="D588" s="21"/>
      <c r="E588" s="21"/>
    </row>
    <row r="589" spans="4:5" ht="15.75" customHeight="1">
      <c r="D589" s="21"/>
      <c r="E589" s="21"/>
    </row>
    <row r="590" spans="4:5" ht="15.75" customHeight="1">
      <c r="D590" s="21"/>
      <c r="E590" s="21"/>
    </row>
    <row r="591" spans="4:5" ht="15.75" customHeight="1">
      <c r="D591" s="21"/>
      <c r="E591" s="21"/>
    </row>
    <row r="592" spans="4:5" ht="15.75" customHeight="1">
      <c r="D592" s="21"/>
      <c r="E592" s="21"/>
    </row>
    <row r="593" spans="4:5" ht="15.75" customHeight="1">
      <c r="D593" s="21"/>
      <c r="E593" s="21"/>
    </row>
    <row r="594" spans="4:5" ht="15.75" customHeight="1">
      <c r="D594" s="21"/>
      <c r="E594" s="21"/>
    </row>
    <row r="595" spans="4:5" ht="15.75" customHeight="1">
      <c r="D595" s="21"/>
      <c r="E595" s="21"/>
    </row>
    <row r="596" spans="4:5" ht="15.75" customHeight="1">
      <c r="D596" s="21"/>
      <c r="E596" s="21"/>
    </row>
    <row r="597" spans="4:5" ht="15.75" customHeight="1">
      <c r="D597" s="21"/>
      <c r="E597" s="21"/>
    </row>
    <row r="598" spans="4:5" ht="15.75" customHeight="1">
      <c r="D598" s="21"/>
      <c r="E598" s="21"/>
    </row>
    <row r="599" spans="4:5" ht="15.75" customHeight="1">
      <c r="D599" s="21"/>
      <c r="E599" s="21"/>
    </row>
    <row r="600" spans="4:5" ht="15.75" customHeight="1">
      <c r="D600" s="21"/>
      <c r="E600" s="21"/>
    </row>
    <row r="601" spans="4:5" ht="15.75" customHeight="1">
      <c r="D601" s="21"/>
      <c r="E601" s="21"/>
    </row>
    <row r="602" spans="4:5" ht="15.75" customHeight="1">
      <c r="D602" s="21"/>
      <c r="E602" s="21"/>
    </row>
    <row r="603" spans="4:5" ht="15.75" customHeight="1">
      <c r="D603" s="21"/>
      <c r="E603" s="21"/>
    </row>
    <row r="604" spans="4:5" ht="15.75" customHeight="1">
      <c r="D604" s="21"/>
      <c r="E604" s="21"/>
    </row>
    <row r="605" spans="4:5" ht="15.75" customHeight="1">
      <c r="D605" s="21"/>
      <c r="E605" s="21"/>
    </row>
    <row r="606" spans="4:5" ht="15.75" customHeight="1">
      <c r="D606" s="21"/>
      <c r="E606" s="21"/>
    </row>
    <row r="607" spans="4:5" ht="15.75" customHeight="1">
      <c r="D607" s="21"/>
      <c r="E607" s="21"/>
    </row>
    <row r="608" spans="4:5" ht="15.75" customHeight="1">
      <c r="D608" s="21"/>
      <c r="E608" s="21"/>
    </row>
    <row r="609" spans="4:5" ht="15.75" customHeight="1">
      <c r="D609" s="21"/>
      <c r="E609" s="21"/>
    </row>
    <row r="610" spans="4:5" ht="15.75" customHeight="1">
      <c r="D610" s="21"/>
      <c r="E610" s="21"/>
    </row>
    <row r="611" spans="4:5" ht="15.75" customHeight="1">
      <c r="D611" s="21"/>
      <c r="E611" s="21"/>
    </row>
    <row r="612" spans="4:5" ht="15.75" customHeight="1">
      <c r="D612" s="21"/>
      <c r="E612" s="21"/>
    </row>
    <row r="613" spans="4:5" ht="15.75" customHeight="1">
      <c r="D613" s="21"/>
      <c r="E613" s="21"/>
    </row>
    <row r="614" spans="4:5" ht="15.75" customHeight="1">
      <c r="D614" s="21"/>
      <c r="E614" s="21"/>
    </row>
    <row r="615" spans="4:5" ht="15.75" customHeight="1">
      <c r="D615" s="21"/>
      <c r="E615" s="21"/>
    </row>
    <row r="616" spans="4:5" ht="15.75" customHeight="1">
      <c r="D616" s="21"/>
      <c r="E616" s="21"/>
    </row>
    <row r="617" spans="4:5" ht="15.75" customHeight="1">
      <c r="D617" s="21"/>
      <c r="E617" s="21"/>
    </row>
    <row r="618" spans="4:5" ht="15.75" customHeight="1">
      <c r="D618" s="21"/>
      <c r="E618" s="21"/>
    </row>
    <row r="619" spans="4:5" ht="15.75" customHeight="1">
      <c r="D619" s="21"/>
      <c r="E619" s="21"/>
    </row>
    <row r="620" spans="4:5" ht="15.75" customHeight="1">
      <c r="D620" s="21"/>
      <c r="E620" s="21"/>
    </row>
    <row r="621" spans="4:5" ht="15.75" customHeight="1">
      <c r="D621" s="21"/>
      <c r="E621" s="21"/>
    </row>
    <row r="622" spans="4:5" ht="15.75" customHeight="1">
      <c r="D622" s="21"/>
      <c r="E622" s="21"/>
    </row>
    <row r="623" spans="4:5" ht="15.75" customHeight="1">
      <c r="D623" s="21"/>
      <c r="E623" s="21"/>
    </row>
    <row r="624" spans="4:5" ht="15.75" customHeight="1">
      <c r="D624" s="21"/>
      <c r="E624" s="21"/>
    </row>
    <row r="625" spans="4:5" ht="15.75" customHeight="1">
      <c r="D625" s="21"/>
      <c r="E625" s="21"/>
    </row>
    <row r="626" spans="4:5" ht="15.75" customHeight="1">
      <c r="D626" s="21"/>
      <c r="E626" s="21"/>
    </row>
    <row r="627" spans="4:5" ht="15.75" customHeight="1">
      <c r="D627" s="21"/>
      <c r="E627" s="21"/>
    </row>
    <row r="628" spans="4:5" ht="15.75" customHeight="1">
      <c r="D628" s="21"/>
      <c r="E628" s="21"/>
    </row>
    <row r="629" spans="4:5" ht="15.75" customHeight="1">
      <c r="D629" s="21"/>
      <c r="E629" s="21"/>
    </row>
    <row r="630" spans="4:5" ht="15.75" customHeight="1">
      <c r="D630" s="21"/>
      <c r="E630" s="21"/>
    </row>
    <row r="631" spans="4:5" ht="15.75" customHeight="1">
      <c r="D631" s="21"/>
      <c r="E631" s="21"/>
    </row>
    <row r="632" spans="4:5" ht="15.75" customHeight="1">
      <c r="D632" s="21"/>
      <c r="E632" s="21"/>
    </row>
    <row r="633" spans="4:5" ht="15.75" customHeight="1">
      <c r="D633" s="21"/>
      <c r="E633" s="21"/>
    </row>
    <row r="634" spans="4:5" ht="15.75" customHeight="1">
      <c r="D634" s="21"/>
      <c r="E634" s="21"/>
    </row>
    <row r="635" spans="4:5" ht="15.75" customHeight="1">
      <c r="D635" s="21"/>
      <c r="E635" s="21"/>
    </row>
    <row r="636" spans="4:5" ht="15.75" customHeight="1">
      <c r="D636" s="21"/>
      <c r="E636" s="21"/>
    </row>
    <row r="637" spans="4:5" ht="15.75" customHeight="1">
      <c r="D637" s="21"/>
      <c r="E637" s="21"/>
    </row>
    <row r="638" spans="4:5" ht="15.75" customHeight="1">
      <c r="D638" s="21"/>
      <c r="E638" s="21"/>
    </row>
    <row r="639" spans="4:5" ht="15.75" customHeight="1">
      <c r="D639" s="21"/>
      <c r="E639" s="21"/>
    </row>
    <row r="640" spans="4:5" ht="15.75" customHeight="1">
      <c r="D640" s="21"/>
      <c r="E640" s="21"/>
    </row>
    <row r="641" spans="4:5" ht="15.75" customHeight="1">
      <c r="D641" s="21"/>
      <c r="E641" s="21"/>
    </row>
    <row r="642" spans="4:5" ht="15.75" customHeight="1">
      <c r="D642" s="21"/>
      <c r="E642" s="21"/>
    </row>
    <row r="643" spans="4:5" ht="15.75" customHeight="1">
      <c r="D643" s="21"/>
      <c r="E643" s="21"/>
    </row>
    <row r="644" spans="4:5" ht="15.75" customHeight="1">
      <c r="D644" s="21"/>
      <c r="E644" s="21"/>
    </row>
    <row r="645" spans="4:5" ht="15.75" customHeight="1">
      <c r="D645" s="21"/>
      <c r="E645" s="21"/>
    </row>
    <row r="646" spans="4:5" ht="15.75" customHeight="1">
      <c r="D646" s="21"/>
      <c r="E646" s="21"/>
    </row>
    <row r="647" spans="4:5" ht="15.75" customHeight="1">
      <c r="D647" s="21"/>
      <c r="E647" s="21"/>
    </row>
    <row r="648" spans="4:5" ht="15.75" customHeight="1">
      <c r="D648" s="21"/>
      <c r="E648" s="21"/>
    </row>
    <row r="649" spans="4:5" ht="15.75" customHeight="1">
      <c r="D649" s="21"/>
      <c r="E649" s="21"/>
    </row>
    <row r="650" spans="4:5" ht="15.75" customHeight="1">
      <c r="D650" s="21"/>
      <c r="E650" s="21"/>
    </row>
    <row r="651" spans="4:5" ht="15.75" customHeight="1">
      <c r="D651" s="21"/>
      <c r="E651" s="21"/>
    </row>
    <row r="652" spans="4:5" ht="15.75" customHeight="1">
      <c r="D652" s="21"/>
      <c r="E652" s="21"/>
    </row>
    <row r="653" spans="4:5" ht="15.75" customHeight="1">
      <c r="D653" s="21"/>
      <c r="E653" s="21"/>
    </row>
    <row r="654" spans="4:5" ht="15.75" customHeight="1">
      <c r="D654" s="21"/>
      <c r="E654" s="21"/>
    </row>
    <row r="655" spans="4:5" ht="15.75" customHeight="1">
      <c r="D655" s="21"/>
      <c r="E655" s="21"/>
    </row>
    <row r="656" spans="4:5" ht="15.75" customHeight="1">
      <c r="D656" s="21"/>
      <c r="E656" s="21"/>
    </row>
    <row r="657" spans="4:5" ht="15.75" customHeight="1">
      <c r="D657" s="21"/>
      <c r="E657" s="21"/>
    </row>
    <row r="658" spans="4:5" ht="15.75" customHeight="1">
      <c r="D658" s="21"/>
      <c r="E658" s="21"/>
    </row>
    <row r="659" spans="4:5" ht="15.75" customHeight="1">
      <c r="D659" s="21"/>
      <c r="E659" s="21"/>
    </row>
    <row r="660" spans="4:5" ht="15.75" customHeight="1">
      <c r="D660" s="21"/>
      <c r="E660" s="21"/>
    </row>
    <row r="661" spans="4:5" ht="15.75" customHeight="1">
      <c r="D661" s="21"/>
      <c r="E661" s="21"/>
    </row>
    <row r="662" spans="4:5" ht="15.75" customHeight="1">
      <c r="D662" s="21"/>
      <c r="E662" s="21"/>
    </row>
    <row r="663" spans="4:5" ht="15.75" customHeight="1">
      <c r="D663" s="21"/>
      <c r="E663" s="21"/>
    </row>
    <row r="664" spans="4:5" ht="15.75" customHeight="1">
      <c r="D664" s="21"/>
      <c r="E664" s="21"/>
    </row>
    <row r="665" spans="4:5" ht="15.75" customHeight="1">
      <c r="D665" s="21"/>
      <c r="E665" s="21"/>
    </row>
    <row r="666" spans="4:5" ht="15.75" customHeight="1">
      <c r="D666" s="21"/>
      <c r="E666" s="21"/>
    </row>
    <row r="667" spans="4:5" ht="15.75" customHeight="1">
      <c r="D667" s="21"/>
      <c r="E667" s="21"/>
    </row>
    <row r="668" spans="4:5" ht="15.75" customHeight="1">
      <c r="D668" s="21"/>
      <c r="E668" s="21"/>
    </row>
    <row r="669" spans="4:5" ht="15.75" customHeight="1">
      <c r="D669" s="21"/>
      <c r="E669" s="21"/>
    </row>
    <row r="670" spans="4:5" ht="15.75" customHeight="1">
      <c r="D670" s="21"/>
      <c r="E670" s="21"/>
    </row>
    <row r="671" spans="4:5" ht="15.75" customHeight="1">
      <c r="D671" s="21"/>
      <c r="E671" s="21"/>
    </row>
    <row r="672" spans="4:5" ht="15.75" customHeight="1">
      <c r="D672" s="21"/>
      <c r="E672" s="21"/>
    </row>
    <row r="673" spans="4:5" ht="15.75" customHeight="1">
      <c r="D673" s="21"/>
      <c r="E673" s="21"/>
    </row>
    <row r="674" spans="4:5" ht="15.75" customHeight="1">
      <c r="D674" s="21"/>
      <c r="E674" s="21"/>
    </row>
    <row r="675" spans="4:5" ht="15.75" customHeight="1">
      <c r="D675" s="21"/>
      <c r="E675" s="21"/>
    </row>
    <row r="676" spans="4:5" ht="15.75" customHeight="1">
      <c r="D676" s="21"/>
      <c r="E676" s="21"/>
    </row>
    <row r="677" spans="4:5" ht="15.75" customHeight="1">
      <c r="D677" s="21"/>
      <c r="E677" s="21"/>
    </row>
    <row r="678" spans="4:5" ht="15.75" customHeight="1">
      <c r="D678" s="21"/>
      <c r="E678" s="21"/>
    </row>
    <row r="679" spans="4:5" ht="15.75" customHeight="1">
      <c r="D679" s="21"/>
      <c r="E679" s="21"/>
    </row>
    <row r="680" spans="4:5" ht="15.75" customHeight="1">
      <c r="D680" s="21"/>
      <c r="E680" s="21"/>
    </row>
    <row r="681" spans="4:5" ht="15.75" customHeight="1">
      <c r="D681" s="21"/>
      <c r="E681" s="21"/>
    </row>
    <row r="682" spans="4:5" ht="15.75" customHeight="1">
      <c r="D682" s="21"/>
      <c r="E682" s="21"/>
    </row>
    <row r="683" spans="4:5" ht="15.75" customHeight="1">
      <c r="D683" s="21"/>
      <c r="E683" s="21"/>
    </row>
    <row r="684" spans="4:5" ht="15.75" customHeight="1">
      <c r="D684" s="21"/>
      <c r="E684" s="21"/>
    </row>
    <row r="685" spans="4:5" ht="15.75" customHeight="1">
      <c r="D685" s="21"/>
      <c r="E685" s="21"/>
    </row>
    <row r="686" spans="4:5" ht="15.75" customHeight="1">
      <c r="D686" s="21"/>
      <c r="E686" s="21"/>
    </row>
    <row r="687" spans="4:5" ht="15.75" customHeight="1">
      <c r="D687" s="21"/>
      <c r="E687" s="21"/>
    </row>
    <row r="688" spans="4:5" ht="15.75" customHeight="1">
      <c r="D688" s="21"/>
      <c r="E688" s="21"/>
    </row>
    <row r="689" spans="4:5" ht="15.75" customHeight="1">
      <c r="D689" s="21"/>
      <c r="E689" s="21"/>
    </row>
    <row r="690" spans="4:5" ht="15.75" customHeight="1">
      <c r="D690" s="21"/>
      <c r="E690" s="21"/>
    </row>
    <row r="691" spans="4:5" ht="15.75" customHeight="1">
      <c r="D691" s="21"/>
      <c r="E691" s="21"/>
    </row>
    <row r="692" spans="4:5" ht="15.75" customHeight="1">
      <c r="D692" s="21"/>
      <c r="E692" s="21"/>
    </row>
    <row r="693" spans="4:5" ht="15.75" customHeight="1">
      <c r="D693" s="21"/>
      <c r="E693" s="21"/>
    </row>
    <row r="694" spans="4:5" ht="15.75" customHeight="1">
      <c r="D694" s="21"/>
      <c r="E694" s="21"/>
    </row>
    <row r="695" spans="4:5" ht="15.75" customHeight="1">
      <c r="D695" s="21"/>
      <c r="E695" s="21"/>
    </row>
    <row r="696" spans="4:5" ht="15.75" customHeight="1">
      <c r="D696" s="21"/>
      <c r="E696" s="21"/>
    </row>
    <row r="697" spans="4:5" ht="15.75" customHeight="1">
      <c r="D697" s="21"/>
      <c r="E697" s="21"/>
    </row>
    <row r="698" spans="4:5" ht="15.75" customHeight="1">
      <c r="D698" s="21"/>
      <c r="E698" s="21"/>
    </row>
    <row r="699" spans="4:5" ht="15.75" customHeight="1">
      <c r="D699" s="21"/>
      <c r="E699" s="21"/>
    </row>
    <row r="700" spans="4:5" ht="15.75" customHeight="1">
      <c r="D700" s="21"/>
      <c r="E700" s="21"/>
    </row>
    <row r="701" spans="4:5" ht="15.75" customHeight="1">
      <c r="D701" s="21"/>
      <c r="E701" s="21"/>
    </row>
    <row r="702" spans="4:5" ht="15.75" customHeight="1">
      <c r="D702" s="21"/>
      <c r="E702" s="21"/>
    </row>
    <row r="703" spans="4:5" ht="15.75" customHeight="1">
      <c r="D703" s="21"/>
      <c r="E703" s="21"/>
    </row>
    <row r="704" spans="4:5" ht="15.75" customHeight="1">
      <c r="D704" s="21"/>
      <c r="E704" s="21"/>
    </row>
    <row r="705" spans="4:5" ht="15.75" customHeight="1">
      <c r="D705" s="21"/>
      <c r="E705" s="21"/>
    </row>
    <row r="706" spans="4:5" ht="15.75" customHeight="1">
      <c r="D706" s="21"/>
      <c r="E706" s="21"/>
    </row>
    <row r="707" spans="4:5" ht="15.75" customHeight="1">
      <c r="D707" s="21"/>
      <c r="E707" s="21"/>
    </row>
    <row r="708" spans="4:5" ht="15.75" customHeight="1">
      <c r="D708" s="21"/>
      <c r="E708" s="21"/>
    </row>
    <row r="709" spans="4:5" ht="15.75" customHeight="1">
      <c r="D709" s="21"/>
      <c r="E709" s="21"/>
    </row>
    <row r="710" spans="4:5" ht="15.75" customHeight="1">
      <c r="D710" s="21"/>
      <c r="E710" s="21"/>
    </row>
    <row r="711" spans="4:5" ht="15.75" customHeight="1">
      <c r="D711" s="21"/>
      <c r="E711" s="21"/>
    </row>
    <row r="712" spans="4:5" ht="15.75" customHeight="1">
      <c r="D712" s="21"/>
      <c r="E712" s="21"/>
    </row>
    <row r="713" spans="4:5" ht="15.75" customHeight="1">
      <c r="D713" s="21"/>
      <c r="E713" s="21"/>
    </row>
    <row r="714" spans="4:5" ht="15.75" customHeight="1">
      <c r="D714" s="21"/>
      <c r="E714" s="21"/>
    </row>
    <row r="715" spans="4:5" ht="15.75" customHeight="1">
      <c r="D715" s="21"/>
      <c r="E715" s="21"/>
    </row>
    <row r="716" spans="4:5" ht="15.75" customHeight="1">
      <c r="D716" s="21"/>
      <c r="E716" s="21"/>
    </row>
    <row r="717" spans="4:5" ht="15.75" customHeight="1">
      <c r="D717" s="21"/>
      <c r="E717" s="21"/>
    </row>
    <row r="718" spans="4:5" ht="15.75" customHeight="1">
      <c r="D718" s="21"/>
      <c r="E718" s="21"/>
    </row>
    <row r="719" spans="4:5" ht="15.75" customHeight="1">
      <c r="D719" s="21"/>
      <c r="E719" s="21"/>
    </row>
    <row r="720" spans="4:5" ht="15.75" customHeight="1">
      <c r="D720" s="21"/>
      <c r="E720" s="21"/>
    </row>
    <row r="721" spans="4:5" ht="15.75" customHeight="1">
      <c r="D721" s="21"/>
      <c r="E721" s="21"/>
    </row>
    <row r="722" spans="4:5" ht="15.75" customHeight="1">
      <c r="D722" s="21"/>
      <c r="E722" s="21"/>
    </row>
    <row r="723" spans="4:5" ht="15.75" customHeight="1">
      <c r="D723" s="21"/>
      <c r="E723" s="21"/>
    </row>
    <row r="724" spans="4:5" ht="15.75" customHeight="1">
      <c r="D724" s="21"/>
      <c r="E724" s="21"/>
    </row>
    <row r="725" spans="4:5" ht="15.75" customHeight="1">
      <c r="D725" s="21"/>
      <c r="E725" s="21"/>
    </row>
    <row r="726" spans="4:5" ht="15.75" customHeight="1">
      <c r="D726" s="21"/>
      <c r="E726" s="21"/>
    </row>
    <row r="727" spans="4:5" ht="15.75" customHeight="1">
      <c r="D727" s="21"/>
      <c r="E727" s="21"/>
    </row>
    <row r="728" spans="4:5" ht="15.75" customHeight="1">
      <c r="D728" s="21"/>
      <c r="E728" s="21"/>
    </row>
    <row r="729" spans="4:5" ht="15.75" customHeight="1">
      <c r="D729" s="21"/>
      <c r="E729" s="21"/>
    </row>
    <row r="730" spans="4:5" ht="15.75" customHeight="1">
      <c r="D730" s="21"/>
      <c r="E730" s="21"/>
    </row>
    <row r="731" spans="4:5" ht="15.75" customHeight="1">
      <c r="D731" s="21"/>
      <c r="E731" s="21"/>
    </row>
    <row r="732" spans="4:5" ht="15.75" customHeight="1">
      <c r="D732" s="21"/>
      <c r="E732" s="21"/>
    </row>
    <row r="733" spans="4:5" ht="15.75" customHeight="1">
      <c r="D733" s="21"/>
      <c r="E733" s="21"/>
    </row>
    <row r="734" spans="4:5" ht="15.75" customHeight="1">
      <c r="D734" s="21"/>
      <c r="E734" s="21"/>
    </row>
    <row r="735" spans="4:5" ht="15.75" customHeight="1">
      <c r="D735" s="21"/>
      <c r="E735" s="21"/>
    </row>
    <row r="736" spans="4:5" ht="15.75" customHeight="1">
      <c r="D736" s="21"/>
      <c r="E736" s="21"/>
    </row>
    <row r="737" spans="4:5" ht="15.75" customHeight="1">
      <c r="D737" s="21"/>
      <c r="E737" s="21"/>
    </row>
    <row r="738" spans="4:5" ht="15.75" customHeight="1">
      <c r="D738" s="21"/>
      <c r="E738" s="21"/>
    </row>
    <row r="739" spans="4:5" ht="15.75" customHeight="1">
      <c r="D739" s="21"/>
      <c r="E739" s="21"/>
    </row>
    <row r="740" spans="4:5" ht="15.75" customHeight="1">
      <c r="D740" s="21"/>
      <c r="E740" s="21"/>
    </row>
    <row r="741" spans="4:5" ht="15.75" customHeight="1">
      <c r="D741" s="21"/>
      <c r="E741" s="21"/>
    </row>
    <row r="742" spans="4:5" ht="15.75" customHeight="1">
      <c r="D742" s="21"/>
      <c r="E742" s="21"/>
    </row>
    <row r="743" spans="4:5" ht="15.75" customHeight="1">
      <c r="D743" s="21"/>
      <c r="E743" s="21"/>
    </row>
    <row r="744" spans="4:5" ht="15.75" customHeight="1">
      <c r="D744" s="21"/>
      <c r="E744" s="21"/>
    </row>
    <row r="745" spans="4:5" ht="15.75" customHeight="1">
      <c r="D745" s="21"/>
      <c r="E745" s="21"/>
    </row>
    <row r="746" spans="4:5" ht="15.75" customHeight="1">
      <c r="D746" s="21"/>
      <c r="E746" s="21"/>
    </row>
    <row r="747" spans="4:5" ht="15.75" customHeight="1">
      <c r="D747" s="21"/>
      <c r="E747" s="21"/>
    </row>
    <row r="748" spans="4:5" ht="15.75" customHeight="1">
      <c r="D748" s="21"/>
      <c r="E748" s="21"/>
    </row>
    <row r="749" spans="4:5" ht="15.75" customHeight="1">
      <c r="D749" s="21"/>
      <c r="E749" s="21"/>
    </row>
    <row r="750" spans="4:5" ht="15.75" customHeight="1">
      <c r="D750" s="21"/>
      <c r="E750" s="21"/>
    </row>
    <row r="751" spans="4:5" ht="15.75" customHeight="1">
      <c r="D751" s="21"/>
      <c r="E751" s="21"/>
    </row>
    <row r="752" spans="4:5" ht="15.75" customHeight="1">
      <c r="D752" s="21"/>
      <c r="E752" s="21"/>
    </row>
    <row r="753" spans="4:5" ht="15.75" customHeight="1">
      <c r="D753" s="21"/>
      <c r="E753" s="21"/>
    </row>
    <row r="754" spans="4:5" ht="15.75" customHeight="1">
      <c r="D754" s="21"/>
      <c r="E754" s="21"/>
    </row>
    <row r="755" spans="4:5" ht="15.75" customHeight="1">
      <c r="D755" s="21"/>
      <c r="E755" s="21"/>
    </row>
    <row r="756" spans="4:5" ht="15.75" customHeight="1">
      <c r="D756" s="21"/>
      <c r="E756" s="21"/>
    </row>
    <row r="757" spans="4:5" ht="15.75" customHeight="1">
      <c r="D757" s="21"/>
      <c r="E757" s="21"/>
    </row>
    <row r="758" spans="4:5" ht="15.75" customHeight="1">
      <c r="D758" s="21"/>
      <c r="E758" s="21"/>
    </row>
    <row r="759" spans="4:5" ht="15.75" customHeight="1">
      <c r="D759" s="21"/>
      <c r="E759" s="21"/>
    </row>
    <row r="760" spans="4:5" ht="15.75" customHeight="1">
      <c r="D760" s="21"/>
      <c r="E760" s="21"/>
    </row>
    <row r="761" spans="4:5" ht="15.75" customHeight="1">
      <c r="D761" s="21"/>
      <c r="E761" s="21"/>
    </row>
    <row r="762" spans="4:5" ht="15.75" customHeight="1">
      <c r="D762" s="21"/>
      <c r="E762" s="21"/>
    </row>
    <row r="763" spans="4:5" ht="15.75" customHeight="1">
      <c r="D763" s="21"/>
      <c r="E763" s="21"/>
    </row>
    <row r="764" spans="4:5" ht="15.75" customHeight="1">
      <c r="D764" s="21"/>
      <c r="E764" s="21"/>
    </row>
    <row r="765" spans="4:5" ht="15.75" customHeight="1">
      <c r="D765" s="21"/>
      <c r="E765" s="21"/>
    </row>
    <row r="766" spans="4:5" ht="15.75" customHeight="1">
      <c r="D766" s="21"/>
      <c r="E766" s="21"/>
    </row>
    <row r="767" spans="4:5" ht="15.75" customHeight="1">
      <c r="D767" s="21"/>
      <c r="E767" s="21"/>
    </row>
    <row r="768" spans="4:5" ht="15.75" customHeight="1">
      <c r="D768" s="21"/>
      <c r="E768" s="21"/>
    </row>
    <row r="769" spans="4:5" ht="15.75" customHeight="1">
      <c r="D769" s="21"/>
      <c r="E769" s="21"/>
    </row>
    <row r="770" spans="4:5" ht="15.75" customHeight="1">
      <c r="D770" s="21"/>
      <c r="E770" s="21"/>
    </row>
    <row r="771" spans="4:5" ht="15.75" customHeight="1">
      <c r="D771" s="21"/>
      <c r="E771" s="21"/>
    </row>
    <row r="772" spans="4:5" ht="15.75" customHeight="1">
      <c r="D772" s="21"/>
      <c r="E772" s="21"/>
    </row>
    <row r="773" spans="4:5" ht="15.75" customHeight="1">
      <c r="D773" s="21"/>
      <c r="E773" s="21"/>
    </row>
    <row r="774" spans="4:5" ht="15.75" customHeight="1">
      <c r="D774" s="21"/>
      <c r="E774" s="21"/>
    </row>
    <row r="775" spans="4:5" ht="15.75" customHeight="1">
      <c r="D775" s="21"/>
      <c r="E775" s="21"/>
    </row>
    <row r="776" spans="4:5" ht="15.75" customHeight="1">
      <c r="D776" s="21"/>
      <c r="E776" s="21"/>
    </row>
    <row r="777" spans="4:5" ht="15.75" customHeight="1">
      <c r="D777" s="21"/>
      <c r="E777" s="21"/>
    </row>
    <row r="778" spans="4:5" ht="15.75" customHeight="1">
      <c r="D778" s="21"/>
      <c r="E778" s="21"/>
    </row>
    <row r="779" spans="4:5" ht="15.75" customHeight="1">
      <c r="D779" s="21"/>
      <c r="E779" s="21"/>
    </row>
    <row r="780" spans="4:5" ht="15.75" customHeight="1">
      <c r="D780" s="21"/>
      <c r="E780" s="21"/>
    </row>
    <row r="781" spans="4:5" ht="15.75" customHeight="1">
      <c r="D781" s="21"/>
      <c r="E781" s="21"/>
    </row>
    <row r="782" spans="4:5" ht="15.75" customHeight="1">
      <c r="D782" s="21"/>
      <c r="E782" s="21"/>
    </row>
    <row r="783" spans="4:5" ht="15.75" customHeight="1">
      <c r="D783" s="21"/>
      <c r="E783" s="21"/>
    </row>
    <row r="784" spans="4:5" ht="15.75" customHeight="1">
      <c r="D784" s="21"/>
      <c r="E784" s="21"/>
    </row>
    <row r="785" spans="4:5" ht="15.75" customHeight="1">
      <c r="D785" s="21"/>
      <c r="E785" s="21"/>
    </row>
    <row r="786" spans="4:5" ht="15.75" customHeight="1">
      <c r="D786" s="21"/>
      <c r="E786" s="21"/>
    </row>
    <row r="787" spans="4:5" ht="15.75" customHeight="1">
      <c r="D787" s="21"/>
      <c r="E787" s="21"/>
    </row>
    <row r="788" spans="4:5" ht="15.75" customHeight="1">
      <c r="D788" s="21"/>
      <c r="E788" s="21"/>
    </row>
    <row r="789" spans="4:5" ht="15.75" customHeight="1">
      <c r="D789" s="21"/>
      <c r="E789" s="21"/>
    </row>
    <row r="790" spans="4:5" ht="15.75" customHeight="1">
      <c r="D790" s="21"/>
      <c r="E790" s="21"/>
    </row>
    <row r="791" spans="4:5" ht="15.75" customHeight="1">
      <c r="D791" s="21"/>
      <c r="E791" s="21"/>
    </row>
    <row r="792" spans="4:5" ht="15.75" customHeight="1">
      <c r="D792" s="21"/>
      <c r="E792" s="21"/>
    </row>
    <row r="793" spans="4:5" ht="15.75" customHeight="1">
      <c r="D793" s="21"/>
      <c r="E793" s="21"/>
    </row>
    <row r="794" spans="4:5" ht="15.75" customHeight="1">
      <c r="D794" s="21"/>
      <c r="E794" s="21"/>
    </row>
    <row r="795" spans="4:5" ht="15.75" customHeight="1">
      <c r="D795" s="21"/>
      <c r="E795" s="21"/>
    </row>
    <row r="796" spans="4:5" ht="15.75" customHeight="1">
      <c r="D796" s="21"/>
      <c r="E796" s="21"/>
    </row>
    <row r="797" spans="4:5" ht="15.75" customHeight="1">
      <c r="D797" s="21"/>
      <c r="E797" s="21"/>
    </row>
    <row r="798" spans="4:5" ht="15.75" customHeight="1">
      <c r="D798" s="21"/>
      <c r="E798" s="21"/>
    </row>
    <row r="799" spans="4:5" ht="15.75" customHeight="1">
      <c r="D799" s="21"/>
      <c r="E799" s="21"/>
    </row>
    <row r="800" spans="4:5" ht="15.75" customHeight="1">
      <c r="D800" s="21"/>
      <c r="E800" s="21"/>
    </row>
    <row r="801" spans="4:5" ht="15.75" customHeight="1">
      <c r="D801" s="21"/>
      <c r="E801" s="21"/>
    </row>
    <row r="802" spans="4:5" ht="15.75" customHeight="1">
      <c r="D802" s="21"/>
      <c r="E802" s="21"/>
    </row>
    <row r="803" spans="4:5" ht="15.75" customHeight="1">
      <c r="D803" s="21"/>
      <c r="E803" s="21"/>
    </row>
    <row r="804" spans="4:5" ht="15.75" customHeight="1">
      <c r="D804" s="21"/>
      <c r="E804" s="21"/>
    </row>
    <row r="805" spans="4:5" ht="15.75" customHeight="1">
      <c r="D805" s="21"/>
      <c r="E805" s="21"/>
    </row>
    <row r="806" spans="4:5" ht="15.75" customHeight="1">
      <c r="D806" s="21"/>
      <c r="E806" s="21"/>
    </row>
    <row r="807" spans="4:5" ht="15.75" customHeight="1">
      <c r="D807" s="21"/>
      <c r="E807" s="21"/>
    </row>
    <row r="808" spans="4:5" ht="15.75" customHeight="1">
      <c r="D808" s="21"/>
      <c r="E808" s="21"/>
    </row>
    <row r="809" spans="4:5" ht="15.75" customHeight="1">
      <c r="D809" s="21"/>
      <c r="E809" s="21"/>
    </row>
    <row r="810" spans="4:5" ht="15.75" customHeight="1">
      <c r="D810" s="21"/>
      <c r="E810" s="21"/>
    </row>
    <row r="811" spans="4:5" ht="15.75" customHeight="1">
      <c r="D811" s="21"/>
      <c r="E811" s="21"/>
    </row>
    <row r="812" spans="4:5" ht="15.75" customHeight="1">
      <c r="D812" s="21"/>
      <c r="E812" s="21"/>
    </row>
    <row r="813" spans="4:5" ht="15.75" customHeight="1">
      <c r="D813" s="21"/>
      <c r="E813" s="21"/>
    </row>
    <row r="814" spans="4:5" ht="15.75" customHeight="1">
      <c r="D814" s="21"/>
      <c r="E814" s="21"/>
    </row>
    <row r="815" spans="4:5" ht="15.75" customHeight="1">
      <c r="D815" s="21"/>
      <c r="E815" s="21"/>
    </row>
    <row r="816" spans="4:5" ht="15.75" customHeight="1">
      <c r="D816" s="21"/>
      <c r="E816" s="21"/>
    </row>
    <row r="817" spans="4:5" ht="15.75" customHeight="1">
      <c r="D817" s="21"/>
      <c r="E817" s="21"/>
    </row>
    <row r="818" spans="4:5" ht="15.75" customHeight="1">
      <c r="D818" s="21"/>
      <c r="E818" s="21"/>
    </row>
    <row r="819" spans="4:5" ht="15.75" customHeight="1">
      <c r="D819" s="21"/>
      <c r="E819" s="21"/>
    </row>
    <row r="820" spans="4:5" ht="15.75" customHeight="1">
      <c r="D820" s="21"/>
      <c r="E820" s="21"/>
    </row>
    <row r="821" spans="4:5" ht="15.75" customHeight="1">
      <c r="D821" s="21"/>
      <c r="E821" s="21"/>
    </row>
    <row r="822" spans="4:5" ht="15.75" customHeight="1">
      <c r="D822" s="21"/>
      <c r="E822" s="21"/>
    </row>
    <row r="823" spans="4:5" ht="15.75" customHeight="1">
      <c r="D823" s="21"/>
      <c r="E823" s="21"/>
    </row>
    <row r="824" spans="4:5" ht="15.75" customHeight="1">
      <c r="D824" s="21"/>
      <c r="E824" s="21"/>
    </row>
    <row r="825" spans="4:5" ht="15.75" customHeight="1">
      <c r="D825" s="21"/>
      <c r="E825" s="21"/>
    </row>
    <row r="826" spans="4:5" ht="15.75" customHeight="1">
      <c r="D826" s="21"/>
      <c r="E826" s="21"/>
    </row>
    <row r="827" spans="4:5" ht="15.75" customHeight="1">
      <c r="D827" s="21"/>
      <c r="E827" s="21"/>
    </row>
    <row r="828" spans="4:5" ht="15.75" customHeight="1">
      <c r="D828" s="21"/>
      <c r="E828" s="21"/>
    </row>
    <row r="829" spans="4:5" ht="15.75" customHeight="1">
      <c r="D829" s="21"/>
      <c r="E829" s="21"/>
    </row>
    <row r="830" spans="4:5" ht="15.75" customHeight="1">
      <c r="D830" s="21"/>
      <c r="E830" s="21"/>
    </row>
    <row r="831" spans="4:5" ht="15.75" customHeight="1">
      <c r="D831" s="21"/>
      <c r="E831" s="21"/>
    </row>
    <row r="832" spans="4:5" ht="15.75" customHeight="1">
      <c r="D832" s="21"/>
      <c r="E832" s="21"/>
    </row>
    <row r="833" spans="4:5" ht="15.75" customHeight="1">
      <c r="D833" s="21"/>
      <c r="E833" s="21"/>
    </row>
    <row r="834" spans="4:5" ht="15.75" customHeight="1">
      <c r="D834" s="21"/>
      <c r="E834" s="21"/>
    </row>
    <row r="835" spans="4:5" ht="15.75" customHeight="1">
      <c r="D835" s="21"/>
      <c r="E835" s="21"/>
    </row>
    <row r="836" spans="4:5" ht="15.75" customHeight="1">
      <c r="D836" s="21"/>
      <c r="E836" s="21"/>
    </row>
    <row r="837" spans="4:5" ht="15.75" customHeight="1">
      <c r="D837" s="21"/>
      <c r="E837" s="21"/>
    </row>
    <row r="838" spans="4:5" ht="15.75" customHeight="1">
      <c r="D838" s="21"/>
      <c r="E838" s="21"/>
    </row>
    <row r="839" spans="4:5" ht="15.75" customHeight="1">
      <c r="D839" s="21"/>
      <c r="E839" s="21"/>
    </row>
    <row r="840" spans="4:5" ht="15.75" customHeight="1">
      <c r="D840" s="21"/>
      <c r="E840" s="21"/>
    </row>
    <row r="841" spans="4:5" ht="15.75" customHeight="1">
      <c r="D841" s="21"/>
      <c r="E841" s="21"/>
    </row>
    <row r="842" spans="4:5" ht="15.75" customHeight="1">
      <c r="D842" s="21"/>
      <c r="E842" s="21"/>
    </row>
    <row r="843" spans="4:5" ht="15.75" customHeight="1">
      <c r="D843" s="21"/>
      <c r="E843" s="21"/>
    </row>
    <row r="844" spans="4:5" ht="15.75" customHeight="1">
      <c r="D844" s="21"/>
      <c r="E844" s="21"/>
    </row>
    <row r="845" spans="4:5" ht="15.75" customHeight="1">
      <c r="D845" s="21"/>
      <c r="E845" s="21"/>
    </row>
    <row r="846" spans="4:5" ht="15.75" customHeight="1">
      <c r="D846" s="21"/>
      <c r="E846" s="21"/>
    </row>
    <row r="847" spans="4:5" ht="15.75" customHeight="1">
      <c r="D847" s="21"/>
      <c r="E847" s="21"/>
    </row>
    <row r="848" spans="4:5" ht="15.75" customHeight="1">
      <c r="D848" s="21"/>
      <c r="E848" s="21"/>
    </row>
    <row r="849" spans="4:5" ht="15.75" customHeight="1">
      <c r="D849" s="21"/>
      <c r="E849" s="21"/>
    </row>
    <row r="850" spans="4:5" ht="15.75" customHeight="1">
      <c r="D850" s="21"/>
      <c r="E850" s="21"/>
    </row>
    <row r="851" spans="4:5" ht="15.75" customHeight="1">
      <c r="D851" s="21"/>
      <c r="E851" s="21"/>
    </row>
    <row r="852" spans="4:5" ht="15.75" customHeight="1">
      <c r="D852" s="21"/>
      <c r="E852" s="21"/>
    </row>
    <row r="853" spans="4:5" ht="15.75" customHeight="1">
      <c r="D853" s="21"/>
      <c r="E853" s="21"/>
    </row>
    <row r="854" spans="4:5" ht="15.75" customHeight="1">
      <c r="D854" s="21"/>
      <c r="E854" s="21"/>
    </row>
    <row r="855" spans="4:5" ht="15.75" customHeight="1">
      <c r="D855" s="21"/>
      <c r="E855" s="21"/>
    </row>
    <row r="856" spans="4:5" ht="15.75" customHeight="1">
      <c r="D856" s="21"/>
      <c r="E856" s="21"/>
    </row>
    <row r="857" spans="4:5" ht="15.75" customHeight="1">
      <c r="D857" s="21"/>
      <c r="E857" s="21"/>
    </row>
    <row r="858" spans="4:5" ht="15.75" customHeight="1">
      <c r="D858" s="21"/>
      <c r="E858" s="21"/>
    </row>
    <row r="859" spans="4:5" ht="15.75" customHeight="1">
      <c r="D859" s="21"/>
      <c r="E859" s="21"/>
    </row>
    <row r="860" spans="4:5" ht="15.75" customHeight="1">
      <c r="D860" s="21"/>
      <c r="E860" s="21"/>
    </row>
    <row r="861" spans="4:5" ht="15.75" customHeight="1">
      <c r="D861" s="21"/>
      <c r="E861" s="21"/>
    </row>
    <row r="862" spans="4:5" ht="15.75" customHeight="1">
      <c r="D862" s="21"/>
      <c r="E862" s="21"/>
    </row>
    <row r="863" spans="4:5" ht="15.75" customHeight="1">
      <c r="D863" s="21"/>
      <c r="E863" s="21"/>
    </row>
    <row r="864" spans="4:5" ht="15.75" customHeight="1">
      <c r="D864" s="21"/>
      <c r="E864" s="21"/>
    </row>
    <row r="865" spans="4:5" ht="15.75" customHeight="1">
      <c r="D865" s="21"/>
      <c r="E865" s="21"/>
    </row>
    <row r="866" spans="4:5" ht="15.75" customHeight="1">
      <c r="D866" s="21"/>
      <c r="E866" s="21"/>
    </row>
    <row r="867" spans="4:5" ht="15.75" customHeight="1">
      <c r="D867" s="21"/>
      <c r="E867" s="21"/>
    </row>
    <row r="868" spans="4:5" ht="15.75" customHeight="1">
      <c r="D868" s="21"/>
      <c r="E868" s="21"/>
    </row>
    <row r="869" spans="4:5" ht="15.75" customHeight="1">
      <c r="D869" s="21"/>
      <c r="E869" s="21"/>
    </row>
    <row r="870" spans="4:5" ht="15.75" customHeight="1">
      <c r="D870" s="21"/>
      <c r="E870" s="21"/>
    </row>
    <row r="871" spans="4:5" ht="15.75" customHeight="1">
      <c r="D871" s="21"/>
      <c r="E871" s="21"/>
    </row>
    <row r="872" spans="4:5" ht="15.75" customHeight="1">
      <c r="D872" s="21"/>
      <c r="E872" s="21"/>
    </row>
    <row r="873" spans="4:5" ht="15.75" customHeight="1">
      <c r="D873" s="21"/>
      <c r="E873" s="21"/>
    </row>
    <row r="874" spans="4:5" ht="15.75" customHeight="1">
      <c r="D874" s="21"/>
      <c r="E874" s="21"/>
    </row>
    <row r="875" spans="4:5" ht="15.75" customHeight="1">
      <c r="D875" s="21"/>
      <c r="E875" s="21"/>
    </row>
    <row r="876" spans="4:5" ht="15.75" customHeight="1">
      <c r="D876" s="21"/>
      <c r="E876" s="21"/>
    </row>
    <row r="877" spans="4:5" ht="15.75" customHeight="1">
      <c r="D877" s="21"/>
      <c r="E877" s="21"/>
    </row>
    <row r="878" spans="4:5" ht="15.75" customHeight="1">
      <c r="D878" s="21"/>
      <c r="E878" s="21"/>
    </row>
    <row r="879" spans="4:5" ht="15.75" customHeight="1">
      <c r="D879" s="21"/>
      <c r="E879" s="21"/>
    </row>
    <row r="880" spans="4:5" ht="15.75" customHeight="1">
      <c r="D880" s="21"/>
      <c r="E880" s="21"/>
    </row>
    <row r="881" spans="4:5" ht="15.75" customHeight="1">
      <c r="D881" s="21"/>
      <c r="E881" s="21"/>
    </row>
    <row r="882" spans="4:5" ht="15.75" customHeight="1">
      <c r="D882" s="21"/>
      <c r="E882" s="21"/>
    </row>
    <row r="883" spans="4:5" ht="15.75" customHeight="1">
      <c r="D883" s="21"/>
      <c r="E883" s="21"/>
    </row>
    <row r="884" spans="4:5" ht="15.75" customHeight="1">
      <c r="D884" s="21"/>
      <c r="E884" s="21"/>
    </row>
    <row r="885" spans="4:5" ht="15.75" customHeight="1">
      <c r="D885" s="21"/>
      <c r="E885" s="21"/>
    </row>
    <row r="886" spans="4:5" ht="15.75" customHeight="1">
      <c r="D886" s="21"/>
      <c r="E886" s="21"/>
    </row>
    <row r="887" spans="4:5" ht="15.75" customHeight="1">
      <c r="D887" s="21"/>
      <c r="E887" s="21"/>
    </row>
    <row r="888" spans="4:5" ht="15.75" customHeight="1">
      <c r="D888" s="21"/>
      <c r="E888" s="21"/>
    </row>
    <row r="889" spans="4:5" ht="15.75" customHeight="1">
      <c r="D889" s="21"/>
      <c r="E889" s="21"/>
    </row>
    <row r="890" spans="4:5" ht="15.75" customHeight="1">
      <c r="D890" s="21"/>
      <c r="E890" s="21"/>
    </row>
    <row r="891" spans="4:5" ht="15.75" customHeight="1">
      <c r="D891" s="21"/>
      <c r="E891" s="21"/>
    </row>
    <row r="892" spans="4:5" ht="15.75" customHeight="1">
      <c r="D892" s="21"/>
      <c r="E892" s="21"/>
    </row>
    <row r="893" spans="4:5" ht="15.75" customHeight="1">
      <c r="D893" s="21"/>
      <c r="E893" s="21"/>
    </row>
    <row r="894" spans="4:5" ht="15.75" customHeight="1">
      <c r="D894" s="21"/>
      <c r="E894" s="21"/>
    </row>
    <row r="895" spans="4:5" ht="15.75" customHeight="1">
      <c r="D895" s="21"/>
      <c r="E895" s="21"/>
    </row>
    <row r="896" spans="4:5" ht="15.75" customHeight="1">
      <c r="D896" s="21"/>
      <c r="E896" s="21"/>
    </row>
    <row r="897" spans="4:5" ht="15.75" customHeight="1">
      <c r="D897" s="21"/>
      <c r="E897" s="21"/>
    </row>
    <row r="898" spans="4:5" ht="15.75" customHeight="1">
      <c r="D898" s="21"/>
      <c r="E898" s="21"/>
    </row>
    <row r="899" spans="4:5" ht="15.75" customHeight="1">
      <c r="D899" s="21"/>
      <c r="E899" s="21"/>
    </row>
    <row r="900" spans="4:5" ht="15.75" customHeight="1">
      <c r="D900" s="21"/>
      <c r="E900" s="21"/>
    </row>
    <row r="901" spans="4:5" ht="15.75" customHeight="1">
      <c r="D901" s="21"/>
      <c r="E901" s="21"/>
    </row>
    <row r="902" spans="4:5" ht="15.75" customHeight="1">
      <c r="D902" s="21"/>
      <c r="E902" s="21"/>
    </row>
    <row r="903" spans="4:5" ht="15.75" customHeight="1">
      <c r="D903" s="21"/>
      <c r="E903" s="21"/>
    </row>
    <row r="904" spans="4:5" ht="15.75" customHeight="1">
      <c r="D904" s="21"/>
      <c r="E904" s="21"/>
    </row>
    <row r="905" spans="4:5" ht="15.75" customHeight="1">
      <c r="D905" s="21"/>
      <c r="E905" s="21"/>
    </row>
    <row r="906" spans="4:5" ht="15.75" customHeight="1">
      <c r="D906" s="21"/>
      <c r="E906" s="21"/>
    </row>
    <row r="907" spans="4:5" ht="15.75" customHeight="1">
      <c r="D907" s="21"/>
      <c r="E907" s="21"/>
    </row>
    <row r="908" spans="4:5" ht="15.75" customHeight="1">
      <c r="D908" s="21"/>
      <c r="E908" s="21"/>
    </row>
    <row r="909" spans="4:5" ht="15.75" customHeight="1">
      <c r="D909" s="21"/>
      <c r="E909" s="21"/>
    </row>
    <row r="910" spans="4:5" ht="15.75" customHeight="1">
      <c r="D910" s="21"/>
      <c r="E910" s="21"/>
    </row>
    <row r="911" spans="4:5" ht="15.75" customHeight="1">
      <c r="D911" s="21"/>
      <c r="E911" s="21"/>
    </row>
    <row r="912" spans="4:5" ht="15.75" customHeight="1">
      <c r="D912" s="21"/>
      <c r="E912" s="21"/>
    </row>
    <row r="913" spans="4:5" ht="15.75" customHeight="1">
      <c r="D913" s="21"/>
      <c r="E913" s="21"/>
    </row>
    <row r="914" spans="4:5" ht="15.75" customHeight="1">
      <c r="D914" s="21"/>
      <c r="E914" s="21"/>
    </row>
    <row r="915" spans="4:5" ht="15.75" customHeight="1">
      <c r="D915" s="21"/>
      <c r="E915" s="21"/>
    </row>
    <row r="916" spans="4:5" ht="15.75" customHeight="1">
      <c r="D916" s="21"/>
      <c r="E916" s="21"/>
    </row>
    <row r="917" spans="4:5" ht="15.75" customHeight="1">
      <c r="D917" s="21"/>
      <c r="E917" s="21"/>
    </row>
    <row r="918" spans="4:5" ht="15.75" customHeight="1">
      <c r="D918" s="21"/>
      <c r="E918" s="21"/>
    </row>
    <row r="919" spans="4:5" ht="15.75" customHeight="1">
      <c r="D919" s="21"/>
      <c r="E919" s="21"/>
    </row>
    <row r="920" spans="4:5" ht="15.75" customHeight="1">
      <c r="D920" s="21"/>
      <c r="E920" s="21"/>
    </row>
    <row r="921" spans="4:5" ht="15.75" customHeight="1">
      <c r="D921" s="21"/>
      <c r="E921" s="21"/>
    </row>
    <row r="922" spans="4:5" ht="15.75" customHeight="1">
      <c r="D922" s="21"/>
      <c r="E922" s="21"/>
    </row>
    <row r="923" spans="4:5" ht="15.75" customHeight="1">
      <c r="D923" s="21"/>
      <c r="E923" s="21"/>
    </row>
    <row r="924" spans="4:5" ht="15.75" customHeight="1">
      <c r="D924" s="21"/>
      <c r="E924" s="21"/>
    </row>
    <row r="925" spans="4:5" ht="15.75" customHeight="1">
      <c r="D925" s="21"/>
      <c r="E925" s="21"/>
    </row>
    <row r="926" spans="4:5" ht="15.75" customHeight="1">
      <c r="D926" s="21"/>
      <c r="E926" s="21"/>
    </row>
    <row r="927" spans="4:5" ht="15.75" customHeight="1">
      <c r="D927" s="21"/>
      <c r="E927" s="21"/>
    </row>
    <row r="928" spans="4:5" ht="15.75" customHeight="1">
      <c r="D928" s="21"/>
      <c r="E928" s="21"/>
    </row>
    <row r="929" spans="4:5" ht="15.75" customHeight="1">
      <c r="D929" s="21"/>
      <c r="E929" s="21"/>
    </row>
    <row r="930" spans="4:5" ht="15.75" customHeight="1">
      <c r="D930" s="21"/>
      <c r="E930" s="21"/>
    </row>
    <row r="931" spans="4:5" ht="15.75" customHeight="1">
      <c r="D931" s="21"/>
      <c r="E931" s="21"/>
    </row>
    <row r="932" spans="4:5" ht="15.75" customHeight="1">
      <c r="D932" s="21"/>
      <c r="E932" s="21"/>
    </row>
    <row r="933" spans="4:5" ht="15.75" customHeight="1">
      <c r="D933" s="21"/>
      <c r="E933" s="21"/>
    </row>
    <row r="934" spans="4:5" ht="15.75" customHeight="1">
      <c r="D934" s="21"/>
      <c r="E934" s="21"/>
    </row>
    <row r="935" spans="4:5" ht="15.75" customHeight="1">
      <c r="D935" s="21"/>
      <c r="E935" s="21"/>
    </row>
    <row r="936" spans="4:5" ht="15.75" customHeight="1">
      <c r="D936" s="21"/>
      <c r="E936" s="21"/>
    </row>
    <row r="937" spans="4:5" ht="15.75" customHeight="1">
      <c r="D937" s="21"/>
      <c r="E937" s="21"/>
    </row>
    <row r="938" spans="4:5" ht="15.75" customHeight="1">
      <c r="D938" s="21"/>
      <c r="E938" s="21"/>
    </row>
    <row r="939" spans="4:5" ht="15.75" customHeight="1">
      <c r="D939" s="21"/>
      <c r="E939" s="21"/>
    </row>
    <row r="940" spans="4:5" ht="15.75" customHeight="1">
      <c r="D940" s="21"/>
      <c r="E940" s="21"/>
    </row>
    <row r="941" spans="4:5" ht="15.75" customHeight="1">
      <c r="D941" s="21"/>
      <c r="E941" s="21"/>
    </row>
    <row r="942" spans="4:5" ht="15.75" customHeight="1">
      <c r="D942" s="21"/>
      <c r="E942" s="21"/>
    </row>
    <row r="943" spans="4:5" ht="15.75" customHeight="1">
      <c r="D943" s="21"/>
      <c r="E943" s="21"/>
    </row>
    <row r="944" spans="4:5" ht="15.75" customHeight="1">
      <c r="D944" s="21"/>
      <c r="E944" s="21"/>
    </row>
    <row r="945" spans="4:5" ht="15.75" customHeight="1">
      <c r="D945" s="21"/>
      <c r="E945" s="21"/>
    </row>
    <row r="946" spans="4:5" ht="15.75" customHeight="1">
      <c r="D946" s="21"/>
      <c r="E946" s="21"/>
    </row>
    <row r="947" spans="4:5" ht="15.75" customHeight="1">
      <c r="D947" s="21"/>
      <c r="E947" s="21"/>
    </row>
    <row r="948" spans="4:5" ht="15.75" customHeight="1">
      <c r="D948" s="21"/>
      <c r="E948" s="21"/>
    </row>
    <row r="949" spans="4:5" ht="15.75" customHeight="1">
      <c r="D949" s="21"/>
      <c r="E949" s="21"/>
    </row>
    <row r="950" spans="4:5" ht="15.75" customHeight="1">
      <c r="D950" s="21"/>
      <c r="E950" s="21"/>
    </row>
    <row r="951" spans="4:5" ht="15.75" customHeight="1">
      <c r="D951" s="21"/>
      <c r="E951" s="21"/>
    </row>
    <row r="952" spans="4:5" ht="15.75" customHeight="1">
      <c r="D952" s="21"/>
      <c r="E952" s="21"/>
    </row>
    <row r="953" spans="4:5" ht="15.75" customHeight="1">
      <c r="D953" s="21"/>
      <c r="E953" s="21"/>
    </row>
    <row r="954" spans="4:5" ht="15.75" customHeight="1">
      <c r="D954" s="21"/>
      <c r="E954" s="21"/>
    </row>
    <row r="955" spans="4:5" ht="15.75" customHeight="1">
      <c r="D955" s="21"/>
      <c r="E955" s="21"/>
    </row>
    <row r="956" spans="4:5" ht="15.75" customHeight="1">
      <c r="D956" s="21"/>
      <c r="E956" s="21"/>
    </row>
    <row r="957" spans="4:5" ht="15.75" customHeight="1">
      <c r="D957" s="21"/>
      <c r="E957" s="21"/>
    </row>
    <row r="958" spans="4:5" ht="15.75" customHeight="1">
      <c r="D958" s="21"/>
      <c r="E958" s="21"/>
    </row>
    <row r="959" spans="4:5" ht="15.75" customHeight="1">
      <c r="D959" s="21"/>
      <c r="E959" s="21"/>
    </row>
    <row r="960" spans="4:5" ht="15.75" customHeight="1">
      <c r="D960" s="21"/>
      <c r="E960" s="21"/>
    </row>
    <row r="961" spans="4:5" ht="15.75" customHeight="1">
      <c r="D961" s="21"/>
      <c r="E961" s="21"/>
    </row>
    <row r="962" spans="4:5" ht="15.75" customHeight="1">
      <c r="D962" s="21"/>
      <c r="E962" s="21"/>
    </row>
    <row r="963" spans="4:5" ht="15.75" customHeight="1">
      <c r="D963" s="21"/>
      <c r="E963" s="21"/>
    </row>
    <row r="964" spans="4:5" ht="15.75" customHeight="1">
      <c r="D964" s="21"/>
      <c r="E964" s="21"/>
    </row>
    <row r="965" spans="4:5" ht="15.75" customHeight="1">
      <c r="D965" s="21"/>
      <c r="E965" s="21"/>
    </row>
    <row r="966" spans="4:5" ht="15.75" customHeight="1">
      <c r="D966" s="21"/>
      <c r="E966" s="21"/>
    </row>
    <row r="967" spans="4:5" ht="15.75" customHeight="1">
      <c r="D967" s="21"/>
      <c r="E967" s="21"/>
    </row>
    <row r="968" spans="4:5" ht="15.75" customHeight="1">
      <c r="D968" s="21"/>
      <c r="E968" s="21"/>
    </row>
    <row r="969" spans="4:5" ht="15.75" customHeight="1">
      <c r="D969" s="21"/>
      <c r="E969" s="21"/>
    </row>
    <row r="970" spans="4:5" ht="15.75" customHeight="1">
      <c r="D970" s="21"/>
      <c r="E970" s="21"/>
    </row>
    <row r="971" spans="4:5" ht="15.75" customHeight="1">
      <c r="D971" s="21"/>
      <c r="E971" s="21"/>
    </row>
    <row r="972" spans="4:5" ht="15.75" customHeight="1">
      <c r="D972" s="21"/>
      <c r="E972" s="21"/>
    </row>
    <row r="973" spans="4:5" ht="15.75" customHeight="1">
      <c r="D973" s="21"/>
      <c r="E973" s="21"/>
    </row>
    <row r="974" spans="4:5" ht="15.75" customHeight="1">
      <c r="D974" s="21"/>
      <c r="E974" s="21"/>
    </row>
    <row r="975" spans="4:5" ht="15.75" customHeight="1">
      <c r="D975" s="21"/>
      <c r="E975" s="21"/>
    </row>
    <row r="976" spans="4:5" ht="15.75" customHeight="1">
      <c r="D976" s="21"/>
      <c r="E976" s="21"/>
    </row>
    <row r="977" spans="4:5" ht="15.75" customHeight="1">
      <c r="D977" s="21"/>
      <c r="E977" s="21"/>
    </row>
    <row r="978" spans="4:5" ht="15.75" customHeight="1">
      <c r="D978" s="21"/>
      <c r="E978" s="21"/>
    </row>
    <row r="979" spans="4:5" ht="15.75" customHeight="1">
      <c r="D979" s="21"/>
      <c r="E979" s="21"/>
    </row>
    <row r="980" spans="4:5" ht="15.75" customHeight="1">
      <c r="D980" s="21"/>
      <c r="E980" s="21"/>
    </row>
    <row r="981" spans="4:5" ht="15.75" customHeight="1">
      <c r="D981" s="21"/>
      <c r="E981" s="21"/>
    </row>
    <row r="982" spans="4:5" ht="15.75" customHeight="1">
      <c r="D982" s="21"/>
      <c r="E982" s="21"/>
    </row>
    <row r="983" spans="4:5" ht="15.75" customHeight="1">
      <c r="D983" s="21"/>
      <c r="E983" s="21"/>
    </row>
    <row r="984" spans="4:5" ht="15.75" customHeight="1">
      <c r="D984" s="21"/>
      <c r="E984" s="21"/>
    </row>
    <row r="985" spans="4:5" ht="15.75" customHeight="1">
      <c r="D985" s="21"/>
      <c r="E985" s="21"/>
    </row>
    <row r="986" spans="4:5" ht="15.75" customHeight="1">
      <c r="D986" s="21"/>
      <c r="E986" s="21"/>
    </row>
    <row r="987" spans="4:5" ht="15.75" customHeight="1">
      <c r="D987" s="21"/>
      <c r="E987" s="21"/>
    </row>
    <row r="988" spans="4:5" ht="15.75" customHeight="1">
      <c r="D988" s="21"/>
      <c r="E988" s="21"/>
    </row>
    <row r="989" spans="4:5" ht="15.75" customHeight="1">
      <c r="D989" s="21"/>
      <c r="E989" s="21"/>
    </row>
    <row r="990" spans="4:5" ht="15.75" customHeight="1">
      <c r="D990" s="21"/>
      <c r="E990" s="21"/>
    </row>
    <row r="991" spans="4:5" ht="15.75" customHeight="1">
      <c r="D991" s="21"/>
      <c r="E991" s="21"/>
    </row>
    <row r="992" spans="4:5" ht="15.75" customHeight="1">
      <c r="D992" s="21"/>
      <c r="E992" s="21"/>
    </row>
    <row r="993" spans="4:5" ht="15.75" customHeight="1">
      <c r="D993" s="21"/>
      <c r="E993" s="21"/>
    </row>
    <row r="994" spans="4:5" ht="15.75" customHeight="1">
      <c r="D994" s="21"/>
      <c r="E994" s="21"/>
    </row>
    <row r="995" spans="4:5" ht="15.75" customHeight="1">
      <c r="D995" s="21"/>
      <c r="E995" s="21"/>
    </row>
    <row r="996" spans="4:5" ht="15.75" customHeight="1">
      <c r="D996" s="21"/>
      <c r="E996" s="21"/>
    </row>
    <row r="997" spans="4:5" ht="15.75" customHeight="1">
      <c r="D997" s="21"/>
      <c r="E997" s="21"/>
    </row>
    <row r="998" spans="4:5" ht="15.75" customHeight="1">
      <c r="D998" s="21"/>
      <c r="E998" s="21"/>
    </row>
    <row r="999" spans="4:5" ht="15.75" customHeight="1">
      <c r="D999" s="21"/>
      <c r="E999" s="21"/>
    </row>
    <row r="1000" spans="4:5" ht="15.75" customHeight="1">
      <c r="D1000" s="21"/>
      <c r="E1000" s="21"/>
    </row>
    <row r="1001" spans="4:5" ht="15.75" customHeight="1">
      <c r="D1001" s="21"/>
      <c r="E1001" s="21"/>
    </row>
    <row r="1002" spans="4:5" ht="15.75" customHeight="1">
      <c r="D1002" s="21"/>
      <c r="E1002" s="21"/>
    </row>
    <row r="1003" spans="4:5" ht="15.75" customHeight="1">
      <c r="D1003" s="21"/>
      <c r="E1003" s="21"/>
    </row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002"/>
  <sheetViews>
    <sheetView workbookViewId="0"/>
  </sheetViews>
  <sheetFormatPr defaultColWidth="14.42578125" defaultRowHeight="15" customHeight="1"/>
  <cols>
    <col min="1" max="1" width="8.7109375" customWidth="1"/>
    <col min="2" max="2" width="12.140625" customWidth="1"/>
    <col min="3" max="3" width="27" customWidth="1"/>
    <col min="4" max="4" width="10.140625" customWidth="1"/>
    <col min="5" max="16" width="8.7109375" customWidth="1"/>
  </cols>
  <sheetData>
    <row r="1" spans="1:5">
      <c r="A1" s="15" t="s">
        <v>62</v>
      </c>
      <c r="B1" s="31"/>
      <c r="C1" s="15"/>
    </row>
    <row r="2" spans="1:5">
      <c r="A2" s="51" t="s">
        <v>152</v>
      </c>
      <c r="B2" s="31"/>
      <c r="C2" s="15"/>
    </row>
    <row r="3" spans="1:5">
      <c r="A3" t="s">
        <v>129</v>
      </c>
      <c r="B3" s="31">
        <v>43565</v>
      </c>
      <c r="C3" s="15" t="s">
        <v>153</v>
      </c>
      <c r="D3" s="15" t="s">
        <v>154</v>
      </c>
      <c r="E3" s="15" t="s">
        <v>155</v>
      </c>
    </row>
    <row r="4" spans="1:5">
      <c r="A4" s="21">
        <v>1</v>
      </c>
      <c r="B4" s="35">
        <v>3.4</v>
      </c>
      <c r="C4" s="15" t="s">
        <v>56</v>
      </c>
      <c r="D4" s="72">
        <v>3.41</v>
      </c>
      <c r="E4" s="60" t="s">
        <v>56</v>
      </c>
    </row>
    <row r="5" spans="1:5">
      <c r="A5" s="21">
        <v>2</v>
      </c>
      <c r="B5" s="35">
        <v>3.5</v>
      </c>
      <c r="C5" s="15" t="s">
        <v>56</v>
      </c>
      <c r="D5" s="72">
        <v>3.35</v>
      </c>
      <c r="E5" s="60" t="s">
        <v>56</v>
      </c>
    </row>
    <row r="6" spans="1:5">
      <c r="A6" s="21">
        <v>3</v>
      </c>
      <c r="B6" s="35">
        <v>3.7</v>
      </c>
      <c r="C6" s="15" t="s">
        <v>56</v>
      </c>
      <c r="D6" s="72">
        <v>3.61</v>
      </c>
      <c r="E6" s="60" t="s">
        <v>56</v>
      </c>
    </row>
    <row r="7" spans="1:5">
      <c r="A7" s="21">
        <v>4</v>
      </c>
      <c r="B7" s="35">
        <v>3.5</v>
      </c>
      <c r="C7" s="15" t="s">
        <v>56</v>
      </c>
      <c r="D7" s="72">
        <v>3.18</v>
      </c>
      <c r="E7" s="60" t="s">
        <v>56</v>
      </c>
    </row>
    <row r="8" spans="1:5">
      <c r="A8" s="21">
        <v>5</v>
      </c>
      <c r="B8" s="35">
        <v>3.4</v>
      </c>
      <c r="C8" s="15" t="s">
        <v>56</v>
      </c>
      <c r="D8" s="72">
        <v>3.46</v>
      </c>
      <c r="E8" s="60" t="s">
        <v>56</v>
      </c>
    </row>
    <row r="9" spans="1:5">
      <c r="A9" s="21">
        <v>6</v>
      </c>
      <c r="B9" s="35">
        <v>3.5</v>
      </c>
      <c r="C9" s="15" t="s">
        <v>56</v>
      </c>
      <c r="D9" s="72">
        <v>3.26</v>
      </c>
      <c r="E9" s="60" t="s">
        <v>56</v>
      </c>
    </row>
    <row r="10" spans="1:5">
      <c r="A10" s="21">
        <v>7</v>
      </c>
      <c r="B10" s="35">
        <v>3.4</v>
      </c>
      <c r="C10" s="15" t="s">
        <v>56</v>
      </c>
      <c r="D10" s="72">
        <v>3.34</v>
      </c>
      <c r="E10" s="60" t="s">
        <v>56</v>
      </c>
    </row>
    <row r="11" spans="1:5">
      <c r="A11" s="21">
        <v>8</v>
      </c>
      <c r="B11" s="35">
        <v>3.4</v>
      </c>
      <c r="C11" s="15" t="s">
        <v>56</v>
      </c>
      <c r="D11" s="72">
        <v>3.45</v>
      </c>
      <c r="E11" s="60" t="s">
        <v>56</v>
      </c>
    </row>
    <row r="12" spans="1:5">
      <c r="A12" s="21">
        <v>9</v>
      </c>
      <c r="B12" s="35">
        <v>3.3</v>
      </c>
      <c r="C12" s="15" t="s">
        <v>56</v>
      </c>
      <c r="D12" s="72">
        <v>3.22</v>
      </c>
      <c r="E12" s="60" t="s">
        <v>56</v>
      </c>
    </row>
    <row r="13" spans="1:5">
      <c r="A13" s="21">
        <v>10</v>
      </c>
      <c r="B13" s="35">
        <v>3.5</v>
      </c>
      <c r="C13" s="15" t="s">
        <v>56</v>
      </c>
      <c r="D13" s="72">
        <v>3.57</v>
      </c>
      <c r="E13" s="60" t="s">
        <v>56</v>
      </c>
    </row>
    <row r="14" spans="1:5">
      <c r="A14" s="21">
        <v>11</v>
      </c>
      <c r="B14" s="35">
        <v>3.4</v>
      </c>
      <c r="C14" s="15" t="s">
        <v>56</v>
      </c>
      <c r="D14" s="72">
        <v>3.4</v>
      </c>
      <c r="E14" s="60" t="s">
        <v>56</v>
      </c>
    </row>
    <row r="15" spans="1:5">
      <c r="A15" s="21">
        <v>12</v>
      </c>
      <c r="B15" s="35">
        <v>3.4</v>
      </c>
      <c r="C15" s="15" t="s">
        <v>56</v>
      </c>
      <c r="D15" s="72">
        <v>3.31</v>
      </c>
      <c r="E15" s="60" t="s">
        <v>56</v>
      </c>
    </row>
    <row r="16" spans="1:5">
      <c r="A16" s="21">
        <v>13</v>
      </c>
      <c r="B16" s="35">
        <v>3.3</v>
      </c>
      <c r="C16" s="15" t="s">
        <v>56</v>
      </c>
      <c r="D16" s="72">
        <v>3.57</v>
      </c>
      <c r="E16" s="60" t="s">
        <v>56</v>
      </c>
    </row>
    <row r="17" spans="1:5">
      <c r="A17" s="21">
        <v>14</v>
      </c>
      <c r="B17" s="35">
        <v>3.4</v>
      </c>
      <c r="C17" s="15" t="s">
        <v>56</v>
      </c>
      <c r="D17" s="72">
        <v>3.46</v>
      </c>
      <c r="E17" s="60" t="s">
        <v>56</v>
      </c>
    </row>
    <row r="18" spans="1:5">
      <c r="A18" s="21">
        <v>15</v>
      </c>
      <c r="B18" s="35">
        <v>3.3</v>
      </c>
      <c r="C18" s="15" t="s">
        <v>56</v>
      </c>
      <c r="D18" s="72">
        <v>3.45</v>
      </c>
      <c r="E18" s="60" t="s">
        <v>56</v>
      </c>
    </row>
    <row r="19" spans="1:5">
      <c r="A19" s="21">
        <v>16</v>
      </c>
      <c r="B19" s="35">
        <v>3.4</v>
      </c>
      <c r="C19" s="15" t="s">
        <v>56</v>
      </c>
      <c r="D19" s="72">
        <v>3.52</v>
      </c>
      <c r="E19" s="60" t="s">
        <v>56</v>
      </c>
    </row>
    <row r="20" spans="1:5">
      <c r="A20" s="21">
        <v>17</v>
      </c>
      <c r="B20" s="35">
        <v>3.4</v>
      </c>
      <c r="C20" s="15" t="s">
        <v>56</v>
      </c>
      <c r="D20" s="72">
        <v>3.65</v>
      </c>
      <c r="E20" s="60" t="s">
        <v>56</v>
      </c>
    </row>
    <row r="21" spans="1:5">
      <c r="A21" s="21">
        <v>18</v>
      </c>
      <c r="B21" s="35">
        <v>3.4</v>
      </c>
      <c r="C21" s="15" t="s">
        <v>56</v>
      </c>
      <c r="D21" s="72">
        <v>3.6</v>
      </c>
      <c r="E21" s="60" t="s">
        <v>56</v>
      </c>
    </row>
    <row r="22" spans="1:5">
      <c r="A22" s="21">
        <v>19</v>
      </c>
      <c r="B22" s="35">
        <v>3.5</v>
      </c>
      <c r="C22" s="15" t="s">
        <v>56</v>
      </c>
      <c r="D22" s="72">
        <v>3.63</v>
      </c>
      <c r="E22" s="60" t="s">
        <v>56</v>
      </c>
    </row>
    <row r="23" spans="1:5" ht="15.75" customHeight="1">
      <c r="A23" s="21">
        <v>20</v>
      </c>
      <c r="B23" s="35">
        <v>3.5</v>
      </c>
      <c r="C23" s="15" t="s">
        <v>56</v>
      </c>
      <c r="D23" s="72">
        <v>3.49</v>
      </c>
      <c r="E23" s="60" t="s">
        <v>56</v>
      </c>
    </row>
    <row r="24" spans="1:5" ht="15.75" customHeight="1">
      <c r="A24" s="21">
        <v>21</v>
      </c>
      <c r="B24" s="35">
        <v>3.4</v>
      </c>
      <c r="C24" s="15" t="s">
        <v>56</v>
      </c>
      <c r="D24" s="72">
        <v>3.3</v>
      </c>
      <c r="E24" s="60" t="s">
        <v>56</v>
      </c>
    </row>
    <row r="25" spans="1:5" ht="15.75" customHeight="1">
      <c r="A25" s="21">
        <v>22</v>
      </c>
      <c r="B25" s="35">
        <v>3.4</v>
      </c>
      <c r="C25" s="15" t="s">
        <v>56</v>
      </c>
      <c r="D25" s="72">
        <v>3.37</v>
      </c>
      <c r="E25" s="60" t="s">
        <v>56</v>
      </c>
    </row>
    <row r="26" spans="1:5" ht="15.75" customHeight="1">
      <c r="A26" s="21">
        <v>23</v>
      </c>
      <c r="B26" s="35">
        <v>3.5</v>
      </c>
      <c r="C26" s="15" t="s">
        <v>56</v>
      </c>
      <c r="D26" s="72">
        <v>3.4</v>
      </c>
      <c r="E26" s="60" t="s">
        <v>56</v>
      </c>
    </row>
    <row r="27" spans="1:5" ht="15.75" customHeight="1">
      <c r="A27" s="21">
        <v>24</v>
      </c>
      <c r="B27" s="35">
        <v>3.4</v>
      </c>
      <c r="C27" s="15" t="s">
        <v>56</v>
      </c>
      <c r="D27" s="72">
        <v>3.25</v>
      </c>
      <c r="E27" s="60" t="s">
        <v>56</v>
      </c>
    </row>
    <row r="28" spans="1:5" ht="15.75" customHeight="1">
      <c r="A28" s="21">
        <v>25</v>
      </c>
      <c r="B28" s="35">
        <v>3.4</v>
      </c>
      <c r="C28" s="15" t="s">
        <v>56</v>
      </c>
      <c r="D28" s="72">
        <v>3.59</v>
      </c>
      <c r="E28" s="60" t="s">
        <v>56</v>
      </c>
    </row>
    <row r="29" spans="1:5" ht="15.75" customHeight="1">
      <c r="A29" s="21">
        <v>26</v>
      </c>
      <c r="B29" s="35">
        <v>3.3</v>
      </c>
      <c r="C29" s="15" t="s">
        <v>56</v>
      </c>
      <c r="D29" s="72">
        <v>3.53</v>
      </c>
      <c r="E29" s="60" t="s">
        <v>56</v>
      </c>
    </row>
    <row r="30" spans="1:5" ht="15.75" customHeight="1">
      <c r="A30" s="21">
        <v>27</v>
      </c>
      <c r="B30" s="35">
        <v>3.2</v>
      </c>
      <c r="C30" s="15" t="s">
        <v>56</v>
      </c>
      <c r="D30" s="72">
        <v>3.59</v>
      </c>
      <c r="E30" s="60" t="s">
        <v>56</v>
      </c>
    </row>
    <row r="31" spans="1:5" ht="15.75" customHeight="1">
      <c r="A31" s="21">
        <v>28</v>
      </c>
      <c r="B31" s="35">
        <v>3.3</v>
      </c>
      <c r="C31" s="15" t="s">
        <v>56</v>
      </c>
      <c r="D31" s="72">
        <v>3.51</v>
      </c>
      <c r="E31" s="60" t="s">
        <v>56</v>
      </c>
    </row>
    <row r="32" spans="1:5" ht="15.75" customHeight="1">
      <c r="A32" s="21">
        <v>29</v>
      </c>
      <c r="B32" s="35">
        <v>3.3</v>
      </c>
      <c r="C32" s="15" t="s">
        <v>56</v>
      </c>
      <c r="D32" s="72">
        <v>3.48</v>
      </c>
      <c r="E32" s="60" t="s">
        <v>56</v>
      </c>
    </row>
    <row r="33" spans="1:5" ht="15.75" customHeight="1">
      <c r="A33" s="21">
        <v>30</v>
      </c>
      <c r="B33" s="35">
        <v>3.6</v>
      </c>
      <c r="C33" s="15" t="s">
        <v>56</v>
      </c>
      <c r="D33" s="72">
        <v>3.54</v>
      </c>
      <c r="E33" s="60" t="s">
        <v>56</v>
      </c>
    </row>
    <row r="34" spans="1:5" ht="15.75" customHeight="1">
      <c r="A34" s="21">
        <v>31</v>
      </c>
      <c r="B34" s="35">
        <v>3.3</v>
      </c>
      <c r="C34" s="15" t="s">
        <v>56</v>
      </c>
      <c r="D34" s="72">
        <v>3.43</v>
      </c>
      <c r="E34" s="60" t="s">
        <v>56</v>
      </c>
    </row>
    <row r="35" spans="1:5" ht="15.75" customHeight="1">
      <c r="A35" s="21">
        <v>32</v>
      </c>
      <c r="B35" s="35">
        <v>3.5</v>
      </c>
      <c r="C35" s="15" t="s">
        <v>56</v>
      </c>
      <c r="D35" s="72">
        <v>3.66</v>
      </c>
      <c r="E35" s="60" t="s">
        <v>56</v>
      </c>
    </row>
    <row r="36" spans="1:5" ht="15.75" customHeight="1">
      <c r="A36" s="21">
        <v>33</v>
      </c>
      <c r="B36" s="35">
        <v>3.4</v>
      </c>
      <c r="C36" s="15" t="s">
        <v>56</v>
      </c>
      <c r="D36" s="72">
        <v>3.57</v>
      </c>
      <c r="E36" s="60" t="s">
        <v>56</v>
      </c>
    </row>
    <row r="37" spans="1:5" ht="15.75" customHeight="1">
      <c r="A37" s="21">
        <v>34</v>
      </c>
      <c r="B37" s="35">
        <v>3.5</v>
      </c>
      <c r="C37" s="15" t="s">
        <v>56</v>
      </c>
      <c r="D37" s="72">
        <v>3.46</v>
      </c>
      <c r="E37" s="60" t="s">
        <v>56</v>
      </c>
    </row>
    <row r="38" spans="1:5" ht="15.75" customHeight="1">
      <c r="A38" s="21">
        <v>35</v>
      </c>
      <c r="B38" s="35">
        <v>3.5</v>
      </c>
      <c r="C38" s="15" t="s">
        <v>56</v>
      </c>
      <c r="D38" s="72">
        <v>3.51</v>
      </c>
      <c r="E38" s="60" t="s">
        <v>56</v>
      </c>
    </row>
    <row r="39" spans="1:5" ht="15.75" customHeight="1">
      <c r="A39" s="21">
        <v>36</v>
      </c>
      <c r="B39" s="35">
        <v>3.4</v>
      </c>
      <c r="C39" s="15" t="s">
        <v>56</v>
      </c>
      <c r="D39" s="72">
        <v>3.58</v>
      </c>
      <c r="E39" s="60" t="s">
        <v>56</v>
      </c>
    </row>
    <row r="40" spans="1:5" ht="15.75" customHeight="1">
      <c r="A40" s="21">
        <v>37</v>
      </c>
      <c r="B40" s="35">
        <v>3.4</v>
      </c>
      <c r="C40" s="15" t="s">
        <v>56</v>
      </c>
      <c r="D40" s="72">
        <v>3.39</v>
      </c>
      <c r="E40" s="60" t="s">
        <v>56</v>
      </c>
    </row>
    <row r="41" spans="1:5" ht="15.75" customHeight="1">
      <c r="A41" s="21">
        <v>38</v>
      </c>
      <c r="B41" s="35">
        <v>3.5</v>
      </c>
      <c r="C41" s="15" t="s">
        <v>56</v>
      </c>
      <c r="D41" s="72">
        <v>3.44</v>
      </c>
      <c r="E41" s="60" t="s">
        <v>56</v>
      </c>
    </row>
    <row r="42" spans="1:5" ht="15.75" customHeight="1">
      <c r="A42" s="21">
        <v>39</v>
      </c>
      <c r="B42" s="35">
        <v>3.5</v>
      </c>
      <c r="C42" s="15" t="s">
        <v>56</v>
      </c>
      <c r="D42" s="72">
        <v>3.55</v>
      </c>
      <c r="E42" s="60" t="s">
        <v>56</v>
      </c>
    </row>
    <row r="43" spans="1:5" ht="15.75" customHeight="1">
      <c r="A43" s="21">
        <v>40</v>
      </c>
      <c r="B43" s="35">
        <v>3.5</v>
      </c>
      <c r="C43" s="15" t="s">
        <v>56</v>
      </c>
      <c r="D43" s="72">
        <v>3.59</v>
      </c>
      <c r="E43" s="60" t="s">
        <v>56</v>
      </c>
    </row>
    <row r="44" spans="1:5" ht="15.75" customHeight="1">
      <c r="A44" s="21">
        <v>41</v>
      </c>
      <c r="B44" s="35">
        <v>3.4</v>
      </c>
      <c r="C44" s="15" t="s">
        <v>56</v>
      </c>
      <c r="D44" s="72">
        <v>3.38</v>
      </c>
      <c r="E44" s="60" t="s">
        <v>56</v>
      </c>
    </row>
    <row r="45" spans="1:5" ht="15.75" customHeight="1">
      <c r="A45" s="21">
        <v>42</v>
      </c>
      <c r="B45" s="35">
        <v>3.6</v>
      </c>
      <c r="C45" s="15" t="s">
        <v>56</v>
      </c>
      <c r="D45" s="72">
        <v>3.5</v>
      </c>
      <c r="E45" s="60" t="s">
        <v>56</v>
      </c>
    </row>
    <row r="46" spans="1:5" ht="15.75" customHeight="1">
      <c r="A46" s="21">
        <v>43</v>
      </c>
      <c r="B46" s="35">
        <v>3.5</v>
      </c>
      <c r="C46" s="15" t="s">
        <v>56</v>
      </c>
      <c r="D46" s="72">
        <v>3.4</v>
      </c>
      <c r="E46" s="60" t="s">
        <v>56</v>
      </c>
    </row>
    <row r="47" spans="1:5" ht="15.75" customHeight="1">
      <c r="A47" s="21">
        <v>44</v>
      </c>
      <c r="B47" s="35">
        <v>3.5</v>
      </c>
      <c r="C47" s="15" t="s">
        <v>56</v>
      </c>
      <c r="D47" s="72">
        <v>3.45</v>
      </c>
      <c r="E47" s="60" t="s">
        <v>56</v>
      </c>
    </row>
    <row r="48" spans="1:5" ht="15.75" customHeight="1">
      <c r="A48" s="21"/>
      <c r="B48" s="35"/>
    </row>
    <row r="49" spans="1:2" ht="15.75" customHeight="1">
      <c r="A49" s="21"/>
      <c r="B49" s="35"/>
    </row>
    <row r="50" spans="1:2" ht="15.75" customHeight="1">
      <c r="A50" s="21"/>
      <c r="B50" s="35"/>
    </row>
    <row r="51" spans="1:2" ht="15.75" customHeight="1">
      <c r="A51" s="21"/>
      <c r="B51" s="35"/>
    </row>
    <row r="52" spans="1:2" ht="15.75" customHeight="1">
      <c r="A52" s="21"/>
      <c r="B52" s="35"/>
    </row>
    <row r="53" spans="1:2" ht="15.75" customHeight="1">
      <c r="A53" s="21"/>
      <c r="B53" s="35"/>
    </row>
    <row r="54" spans="1:2" ht="15.75" customHeight="1">
      <c r="A54" s="21"/>
      <c r="B54" s="35"/>
    </row>
    <row r="55" spans="1:2" ht="15.75" customHeight="1">
      <c r="A55" s="21"/>
      <c r="B55" s="35"/>
    </row>
    <row r="56" spans="1:2" ht="15.75" customHeight="1">
      <c r="A56" s="21"/>
      <c r="B56" s="35"/>
    </row>
    <row r="57" spans="1:2" ht="15.75" customHeight="1">
      <c r="A57" s="21"/>
      <c r="B57" s="35"/>
    </row>
    <row r="58" spans="1:2" ht="15.75" customHeight="1">
      <c r="A58" s="21"/>
      <c r="B58" s="35"/>
    </row>
    <row r="59" spans="1:2" ht="15.75" customHeight="1">
      <c r="A59" s="21"/>
      <c r="B59" s="35"/>
    </row>
    <row r="60" spans="1:2" ht="15.75" customHeight="1">
      <c r="A60" s="21"/>
      <c r="B60" s="35"/>
    </row>
    <row r="61" spans="1:2" ht="15.75" customHeight="1">
      <c r="A61" s="21"/>
      <c r="B61" s="35"/>
    </row>
    <row r="62" spans="1:2" ht="15.75" customHeight="1">
      <c r="A62" s="21"/>
      <c r="B62" s="35"/>
    </row>
    <row r="63" spans="1:2" ht="15.75" customHeight="1">
      <c r="A63" s="21"/>
      <c r="B63" s="35"/>
    </row>
    <row r="64" spans="1:2" ht="15.75" customHeight="1">
      <c r="A64" s="21"/>
      <c r="B64" s="35"/>
    </row>
    <row r="65" spans="1:2" ht="15.75" customHeight="1">
      <c r="A65" s="21"/>
      <c r="B65" s="35"/>
    </row>
    <row r="66" spans="1:2" ht="15.75" customHeight="1">
      <c r="A66" s="21"/>
      <c r="B66" s="35"/>
    </row>
    <row r="67" spans="1:2" ht="15.75" customHeight="1">
      <c r="A67" s="21"/>
      <c r="B67" s="35"/>
    </row>
    <row r="68" spans="1:2" ht="15.75" customHeight="1">
      <c r="A68" s="21"/>
      <c r="B68" s="35"/>
    </row>
    <row r="69" spans="1:2" ht="15.75" customHeight="1">
      <c r="A69" s="21"/>
      <c r="B69" s="35"/>
    </row>
    <row r="70" spans="1:2" ht="15.75" customHeight="1">
      <c r="A70" s="21"/>
      <c r="B70" s="35"/>
    </row>
    <row r="71" spans="1:2" ht="15.75" customHeight="1">
      <c r="A71" s="21"/>
      <c r="B71" s="35"/>
    </row>
    <row r="72" spans="1:2" ht="15.75" customHeight="1">
      <c r="A72" s="21"/>
      <c r="B72" s="35"/>
    </row>
    <row r="73" spans="1:2" ht="15.75" customHeight="1">
      <c r="A73" s="21"/>
      <c r="B73" s="35"/>
    </row>
    <row r="74" spans="1:2" ht="15.75" customHeight="1">
      <c r="A74" s="21"/>
      <c r="B74" s="35"/>
    </row>
    <row r="75" spans="1:2" ht="15.75" customHeight="1">
      <c r="A75" s="21"/>
      <c r="B75" s="35"/>
    </row>
    <row r="76" spans="1:2" ht="15.75" customHeight="1">
      <c r="A76" s="21"/>
      <c r="B76" s="35"/>
    </row>
    <row r="77" spans="1:2" ht="15.75" customHeight="1">
      <c r="A77" s="21"/>
      <c r="B77" s="35"/>
    </row>
    <row r="78" spans="1:2" ht="15.75" customHeight="1">
      <c r="A78" s="21"/>
      <c r="B78" s="35"/>
    </row>
    <row r="79" spans="1:2" ht="15.75" customHeight="1">
      <c r="A79" s="21"/>
      <c r="B79" s="35"/>
    </row>
    <row r="80" spans="1:2" ht="15.75" customHeight="1">
      <c r="A80" s="21"/>
      <c r="B80" s="35"/>
    </row>
    <row r="81" spans="1:2" ht="15.75" customHeight="1">
      <c r="A81" s="21"/>
      <c r="B81" s="35"/>
    </row>
    <row r="82" spans="1:2" ht="15.75" customHeight="1">
      <c r="A82" s="21"/>
      <c r="B82" s="35"/>
    </row>
    <row r="83" spans="1:2" ht="15.75" customHeight="1">
      <c r="A83" s="21"/>
      <c r="B83" s="35"/>
    </row>
    <row r="84" spans="1:2" ht="15.75" customHeight="1">
      <c r="A84" s="21"/>
      <c r="B84" s="35"/>
    </row>
    <row r="85" spans="1:2" ht="15.75" customHeight="1">
      <c r="A85" s="21"/>
      <c r="B85" s="35"/>
    </row>
    <row r="86" spans="1:2" ht="15.75" customHeight="1">
      <c r="A86" s="21"/>
      <c r="B86" s="35"/>
    </row>
    <row r="87" spans="1:2" ht="15.75" customHeight="1">
      <c r="A87" s="21"/>
      <c r="B87" s="35"/>
    </row>
    <row r="88" spans="1:2" ht="15.75" customHeight="1">
      <c r="A88" s="21"/>
      <c r="B88" s="35"/>
    </row>
    <row r="89" spans="1:2" ht="15.75" customHeight="1">
      <c r="A89" s="21"/>
      <c r="B89" s="35"/>
    </row>
    <row r="90" spans="1:2" ht="15.75" customHeight="1">
      <c r="A90" s="21"/>
      <c r="B90" s="35"/>
    </row>
    <row r="91" spans="1:2" ht="15.75" customHeight="1">
      <c r="A91" s="21"/>
      <c r="B91" s="35"/>
    </row>
    <row r="92" spans="1:2" ht="15.75" customHeight="1">
      <c r="A92" s="21"/>
      <c r="B92" s="35"/>
    </row>
    <row r="93" spans="1:2" ht="15.75" customHeight="1">
      <c r="A93" s="21"/>
      <c r="B93" s="35"/>
    </row>
    <row r="94" spans="1:2" ht="15.75" customHeight="1">
      <c r="A94" s="21"/>
      <c r="B94" s="35"/>
    </row>
    <row r="95" spans="1:2" ht="15.75" customHeight="1">
      <c r="A95" s="21"/>
      <c r="B95" s="35"/>
    </row>
    <row r="96" spans="1:2" ht="15.75" customHeight="1">
      <c r="A96" s="21"/>
      <c r="B96" s="35"/>
    </row>
    <row r="97" spans="1:2" ht="15.75" customHeight="1">
      <c r="A97" s="21"/>
      <c r="B97" s="35"/>
    </row>
    <row r="98" spans="1:2" ht="15.75" customHeight="1">
      <c r="A98" s="21"/>
      <c r="B98" s="35"/>
    </row>
    <row r="99" spans="1:2" ht="15.75" customHeight="1">
      <c r="A99" s="21"/>
      <c r="B99" s="35"/>
    </row>
    <row r="100" spans="1:2" ht="15.75" customHeight="1">
      <c r="A100" s="21"/>
      <c r="B100" s="35"/>
    </row>
    <row r="101" spans="1:2" ht="15.75" customHeight="1">
      <c r="A101" s="21"/>
      <c r="B101" s="35"/>
    </row>
    <row r="102" spans="1:2" ht="15.75" customHeight="1">
      <c r="A102" s="21"/>
      <c r="B102" s="35"/>
    </row>
    <row r="103" spans="1:2" ht="15.75" customHeight="1">
      <c r="A103" s="21"/>
      <c r="B103" s="35"/>
    </row>
    <row r="104" spans="1:2" ht="15.75" customHeight="1">
      <c r="A104" s="27"/>
      <c r="B104" s="35"/>
    </row>
    <row r="105" spans="1:2" ht="15.75" customHeight="1">
      <c r="A105" s="21"/>
      <c r="B105" s="35"/>
    </row>
    <row r="106" spans="1:2" ht="15.75" customHeight="1">
      <c r="A106" s="21"/>
      <c r="B106" s="35"/>
    </row>
    <row r="107" spans="1:2" ht="15.75" customHeight="1">
      <c r="A107" s="21"/>
      <c r="B107" s="35"/>
    </row>
    <row r="108" spans="1:2" ht="15.75" customHeight="1">
      <c r="A108" s="21"/>
      <c r="B108" s="35"/>
    </row>
    <row r="109" spans="1:2" ht="15.75" customHeight="1">
      <c r="A109" s="21"/>
      <c r="B109" s="35"/>
    </row>
    <row r="110" spans="1:2" ht="15.75" customHeight="1">
      <c r="A110" s="21"/>
      <c r="B110" s="35"/>
    </row>
    <row r="111" spans="1:2" ht="15.75" customHeight="1">
      <c r="A111" s="21"/>
      <c r="B111" s="35"/>
    </row>
    <row r="112" spans="1:2" ht="15.75" customHeight="1">
      <c r="A112" s="21"/>
      <c r="B112" s="35"/>
    </row>
    <row r="113" spans="1:2" ht="15.75" customHeight="1">
      <c r="A113" s="21"/>
      <c r="B113" s="35"/>
    </row>
    <row r="114" spans="1:2" ht="15.75" customHeight="1">
      <c r="A114" s="21"/>
      <c r="B114" s="35"/>
    </row>
    <row r="115" spans="1:2" ht="15.75" customHeight="1">
      <c r="A115" s="21"/>
      <c r="B115" s="35"/>
    </row>
    <row r="116" spans="1:2" ht="15.75" customHeight="1">
      <c r="A116" s="21"/>
      <c r="B116" s="35"/>
    </row>
    <row r="117" spans="1:2" ht="15.75" customHeight="1">
      <c r="A117" s="21"/>
      <c r="B117" s="35"/>
    </row>
    <row r="118" spans="1:2" ht="15.75" customHeight="1">
      <c r="A118" s="21"/>
      <c r="B118" s="35"/>
    </row>
    <row r="119" spans="1:2" ht="15.75" customHeight="1">
      <c r="A119" s="21"/>
      <c r="B119" s="35"/>
    </row>
    <row r="120" spans="1:2" ht="15.75" customHeight="1">
      <c r="A120" s="21"/>
      <c r="B120" s="35"/>
    </row>
    <row r="121" spans="1:2" ht="15.75" customHeight="1">
      <c r="A121" s="21"/>
      <c r="B121" s="35"/>
    </row>
    <row r="122" spans="1:2" ht="15.75" customHeight="1">
      <c r="A122" s="21"/>
      <c r="B122" s="35"/>
    </row>
    <row r="123" spans="1:2" ht="15.75" customHeight="1">
      <c r="A123" s="21"/>
      <c r="B123" s="35"/>
    </row>
    <row r="124" spans="1:2" ht="15.75" customHeight="1"/>
    <row r="125" spans="1:2" ht="15.75" customHeight="1"/>
    <row r="126" spans="1:2" ht="15.75" customHeight="1"/>
    <row r="127" spans="1:2" ht="15.75" customHeight="1"/>
    <row r="128" spans="1:2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W83"/>
  <sheetViews>
    <sheetView workbookViewId="0"/>
  </sheetViews>
  <sheetFormatPr defaultColWidth="14.42578125" defaultRowHeight="15" customHeight="1"/>
  <cols>
    <col min="1" max="1" width="10" customWidth="1"/>
    <col min="2" max="2" width="21.42578125" customWidth="1"/>
    <col min="3" max="3" width="22" customWidth="1"/>
    <col min="5" max="5" width="21.140625" customWidth="1"/>
    <col min="7" max="7" width="22.5703125" customWidth="1"/>
    <col min="9" max="9" width="21.7109375" customWidth="1"/>
    <col min="11" max="11" width="31.85546875" customWidth="1"/>
    <col min="13" max="13" width="29.7109375" customWidth="1"/>
    <col min="15" max="15" width="29.28515625" customWidth="1"/>
    <col min="16" max="16" width="14.7109375" customWidth="1"/>
    <col min="17" max="17" width="29" customWidth="1"/>
    <col min="18" max="18" width="32.140625" customWidth="1"/>
    <col min="19" max="19" width="29.5703125" customWidth="1"/>
    <col min="20" max="20" width="28.28515625" customWidth="1"/>
    <col min="21" max="21" width="29.42578125" customWidth="1"/>
    <col min="23" max="23" width="27" customWidth="1"/>
    <col min="25" max="25" width="28.42578125" customWidth="1"/>
  </cols>
  <sheetData>
    <row r="1" spans="1:23">
      <c r="A1" s="15" t="s">
        <v>156</v>
      </c>
      <c r="J1" s="15"/>
      <c r="K1" s="15"/>
    </row>
    <row r="2" spans="1:23">
      <c r="A2" s="15" t="s">
        <v>157</v>
      </c>
      <c r="B2" s="15" t="s">
        <v>158</v>
      </c>
      <c r="J2" s="15"/>
      <c r="K2" s="15"/>
    </row>
    <row r="3" spans="1:23">
      <c r="A3" s="15" t="s">
        <v>128</v>
      </c>
      <c r="B3" s="15" t="s">
        <v>159</v>
      </c>
      <c r="J3" s="15"/>
      <c r="K3" s="15"/>
    </row>
    <row r="4" spans="1:23">
      <c r="A4" s="15" t="s">
        <v>51</v>
      </c>
      <c r="B4" s="73">
        <v>43468</v>
      </c>
      <c r="C4" s="15" t="s">
        <v>160</v>
      </c>
      <c r="D4" s="15" t="s">
        <v>161</v>
      </c>
      <c r="E4" s="15" t="s">
        <v>162</v>
      </c>
      <c r="F4" s="15" t="s">
        <v>163</v>
      </c>
      <c r="G4" s="15" t="s">
        <v>164</v>
      </c>
      <c r="H4" s="15" t="s">
        <v>90</v>
      </c>
      <c r="I4" s="15" t="s">
        <v>91</v>
      </c>
      <c r="J4" s="15" t="s">
        <v>6</v>
      </c>
      <c r="K4" s="15" t="s">
        <v>92</v>
      </c>
      <c r="L4" s="15" t="s">
        <v>7</v>
      </c>
      <c r="M4" s="15" t="s">
        <v>93</v>
      </c>
      <c r="N4" s="15" t="s">
        <v>133</v>
      </c>
      <c r="O4" s="15" t="s">
        <v>134</v>
      </c>
      <c r="P4" s="73">
        <v>43892</v>
      </c>
      <c r="Q4" s="15" t="s">
        <v>165</v>
      </c>
      <c r="R4" s="31">
        <v>44024</v>
      </c>
      <c r="S4" s="15" t="s">
        <v>98</v>
      </c>
      <c r="T4" s="15" t="s">
        <v>119</v>
      </c>
      <c r="U4" s="15" t="s">
        <v>120</v>
      </c>
      <c r="V4" s="31">
        <v>44264</v>
      </c>
      <c r="W4" s="15" t="s">
        <v>166</v>
      </c>
    </row>
    <row r="5" spans="1:23">
      <c r="A5" s="35">
        <v>1</v>
      </c>
      <c r="B5" s="74">
        <v>4</v>
      </c>
      <c r="C5" s="75" t="s">
        <v>56</v>
      </c>
      <c r="D5" s="35">
        <v>4</v>
      </c>
      <c r="E5" s="75" t="s">
        <v>56</v>
      </c>
      <c r="F5" s="35">
        <v>4.7</v>
      </c>
      <c r="G5" s="75" t="s">
        <v>56</v>
      </c>
      <c r="H5" s="35">
        <v>5.3</v>
      </c>
      <c r="I5" s="15" t="s">
        <v>56</v>
      </c>
      <c r="J5" s="35">
        <v>4.0999999999999996</v>
      </c>
      <c r="K5" s="15" t="s">
        <v>56</v>
      </c>
      <c r="L5" s="35">
        <v>4.9000000000000004</v>
      </c>
      <c r="M5" s="15" t="s">
        <v>56</v>
      </c>
      <c r="N5" s="76">
        <v>4.0999999999999996</v>
      </c>
      <c r="O5" s="15" t="s">
        <v>56</v>
      </c>
      <c r="P5" s="77">
        <v>4.53</v>
      </c>
      <c r="Q5" s="15" t="s">
        <v>56</v>
      </c>
      <c r="R5" s="49">
        <v>4.18</v>
      </c>
      <c r="S5" s="15" t="s">
        <v>56</v>
      </c>
      <c r="T5" s="34">
        <v>4.42</v>
      </c>
      <c r="U5" s="15" t="s">
        <v>56</v>
      </c>
      <c r="V5" s="49">
        <v>4.83</v>
      </c>
      <c r="W5" s="15" t="s">
        <v>56</v>
      </c>
    </row>
    <row r="6" spans="1:23">
      <c r="A6" s="35">
        <v>2</v>
      </c>
      <c r="B6" s="74">
        <v>4</v>
      </c>
      <c r="C6" s="75" t="s">
        <v>56</v>
      </c>
      <c r="D6" s="35">
        <v>3.9</v>
      </c>
      <c r="E6" s="75" t="s">
        <v>56</v>
      </c>
      <c r="F6" s="35">
        <v>5.0999999999999996</v>
      </c>
      <c r="G6" s="75" t="s">
        <v>56</v>
      </c>
      <c r="H6" s="35">
        <v>4.8</v>
      </c>
      <c r="I6" s="15" t="s">
        <v>56</v>
      </c>
      <c r="J6" s="35">
        <v>4.0999999999999996</v>
      </c>
      <c r="K6" s="15" t="s">
        <v>56</v>
      </c>
      <c r="L6" s="35">
        <v>5.6</v>
      </c>
      <c r="M6" s="15" t="s">
        <v>56</v>
      </c>
      <c r="N6" s="76">
        <v>4.4000000000000004</v>
      </c>
      <c r="O6" s="15" t="s">
        <v>56</v>
      </c>
      <c r="P6" s="77">
        <v>4.51</v>
      </c>
      <c r="Q6" s="15" t="s">
        <v>56</v>
      </c>
      <c r="R6" s="49">
        <v>5.15</v>
      </c>
      <c r="S6" s="15" t="s">
        <v>56</v>
      </c>
      <c r="T6" s="34">
        <v>5.29</v>
      </c>
      <c r="U6" s="15" t="s">
        <v>56</v>
      </c>
      <c r="V6" s="49">
        <v>5.3</v>
      </c>
      <c r="W6" s="15" t="s">
        <v>56</v>
      </c>
    </row>
    <row r="7" spans="1:23">
      <c r="A7" s="35">
        <v>3</v>
      </c>
      <c r="B7" s="74">
        <v>3.8</v>
      </c>
      <c r="C7" s="75" t="s">
        <v>56</v>
      </c>
      <c r="D7" s="35">
        <v>4.5</v>
      </c>
      <c r="E7" s="75" t="s">
        <v>56</v>
      </c>
      <c r="F7" s="35">
        <v>4.5999999999999996</v>
      </c>
      <c r="G7" s="75" t="s">
        <v>56</v>
      </c>
      <c r="H7" s="35">
        <v>4.2</v>
      </c>
      <c r="I7" s="15" t="s">
        <v>56</v>
      </c>
      <c r="J7" s="35">
        <v>4.0999999999999996</v>
      </c>
      <c r="K7" s="15" t="s">
        <v>56</v>
      </c>
      <c r="L7" s="35">
        <v>5</v>
      </c>
      <c r="M7" s="15" t="s">
        <v>56</v>
      </c>
      <c r="N7" s="76">
        <v>4.8</v>
      </c>
      <c r="O7" s="15" t="s">
        <v>56</v>
      </c>
      <c r="P7" s="77">
        <v>4.43</v>
      </c>
      <c r="Q7" s="15" t="s">
        <v>56</v>
      </c>
      <c r="R7" s="49">
        <v>5.28</v>
      </c>
      <c r="S7" s="15" t="s">
        <v>56</v>
      </c>
      <c r="T7" s="34">
        <v>4.59</v>
      </c>
      <c r="U7" s="15" t="s">
        <v>56</v>
      </c>
      <c r="V7" s="49">
        <v>5.2</v>
      </c>
      <c r="W7" s="15" t="s">
        <v>56</v>
      </c>
    </row>
    <row r="8" spans="1:23">
      <c r="A8" s="35">
        <v>4</v>
      </c>
      <c r="B8" s="74">
        <v>4.4000000000000004</v>
      </c>
      <c r="C8" s="75" t="s">
        <v>56</v>
      </c>
      <c r="D8" s="35">
        <v>3.9</v>
      </c>
      <c r="E8" s="75" t="s">
        <v>56</v>
      </c>
      <c r="F8" s="35">
        <v>4.7</v>
      </c>
      <c r="G8" s="75" t="s">
        <v>56</v>
      </c>
      <c r="H8" s="35">
        <v>4.0999999999999996</v>
      </c>
      <c r="I8" s="15" t="s">
        <v>56</v>
      </c>
      <c r="J8" s="35">
        <v>4.0999999999999996</v>
      </c>
      <c r="K8" s="15" t="s">
        <v>56</v>
      </c>
      <c r="L8" s="35">
        <v>4.9000000000000004</v>
      </c>
      <c r="M8" s="15" t="s">
        <v>56</v>
      </c>
      <c r="N8" s="76">
        <v>4.0999999999999996</v>
      </c>
      <c r="O8" s="15" t="s">
        <v>56</v>
      </c>
      <c r="P8" s="77">
        <v>5.19</v>
      </c>
      <c r="Q8" s="15" t="s">
        <v>56</v>
      </c>
      <c r="R8" s="49">
        <v>5.41</v>
      </c>
      <c r="S8" s="15" t="s">
        <v>56</v>
      </c>
      <c r="T8" s="34">
        <v>4.97</v>
      </c>
      <c r="U8" s="15" t="s">
        <v>56</v>
      </c>
      <c r="V8" s="49">
        <v>5.19</v>
      </c>
      <c r="W8" s="15" t="s">
        <v>56</v>
      </c>
    </row>
    <row r="9" spans="1:23">
      <c r="A9" s="35">
        <v>5</v>
      </c>
      <c r="B9" s="74">
        <v>4.0999999999999996</v>
      </c>
      <c r="C9" s="75" t="s">
        <v>56</v>
      </c>
      <c r="D9" s="35">
        <v>4</v>
      </c>
      <c r="E9" s="75" t="s">
        <v>56</v>
      </c>
      <c r="F9" s="35">
        <v>4.9000000000000004</v>
      </c>
      <c r="G9" s="75" t="s">
        <v>56</v>
      </c>
      <c r="H9" s="35">
        <v>4.3</v>
      </c>
      <c r="I9" s="15" t="s">
        <v>56</v>
      </c>
      <c r="J9" s="35">
        <v>4.2</v>
      </c>
      <c r="K9" s="15" t="s">
        <v>56</v>
      </c>
      <c r="L9" s="35">
        <v>5</v>
      </c>
      <c r="M9" s="15" t="s">
        <v>56</v>
      </c>
      <c r="N9" s="76">
        <v>4.0999999999999996</v>
      </c>
      <c r="O9" s="15" t="s">
        <v>56</v>
      </c>
      <c r="P9" s="77">
        <v>4.38</v>
      </c>
      <c r="Q9" s="15" t="s">
        <v>56</v>
      </c>
      <c r="R9" s="58">
        <v>16.02</v>
      </c>
      <c r="S9" s="15" t="s">
        <v>60</v>
      </c>
      <c r="T9" s="53">
        <v>9999</v>
      </c>
      <c r="U9" s="15" t="s">
        <v>60</v>
      </c>
      <c r="V9" s="58">
        <v>9999</v>
      </c>
      <c r="W9" s="15" t="s">
        <v>60</v>
      </c>
    </row>
    <row r="10" spans="1:23">
      <c r="A10" s="35">
        <v>6</v>
      </c>
      <c r="B10" s="74">
        <v>4.2</v>
      </c>
      <c r="C10" s="75" t="s">
        <v>56</v>
      </c>
      <c r="D10" s="35">
        <v>5</v>
      </c>
      <c r="E10" s="75" t="s">
        <v>56</v>
      </c>
      <c r="F10" s="35">
        <v>5</v>
      </c>
      <c r="G10" s="75" t="s">
        <v>56</v>
      </c>
      <c r="H10" s="35">
        <v>4</v>
      </c>
      <c r="I10" s="15" t="s">
        <v>56</v>
      </c>
      <c r="J10" s="35">
        <v>4.0999999999999996</v>
      </c>
      <c r="K10" s="15" t="s">
        <v>56</v>
      </c>
      <c r="L10" s="35">
        <v>4.3</v>
      </c>
      <c r="M10" s="15" t="s">
        <v>56</v>
      </c>
      <c r="N10" s="76">
        <v>4</v>
      </c>
      <c r="O10" s="15" t="s">
        <v>56</v>
      </c>
      <c r="P10" s="77">
        <v>4.78</v>
      </c>
      <c r="Q10" s="15" t="s">
        <v>56</v>
      </c>
      <c r="R10" s="49">
        <v>4.12</v>
      </c>
      <c r="S10" s="15" t="s">
        <v>56</v>
      </c>
      <c r="T10" s="34">
        <v>4.13</v>
      </c>
      <c r="U10" s="15" t="s">
        <v>56</v>
      </c>
      <c r="V10" s="49">
        <v>5.0999999999999996</v>
      </c>
      <c r="W10" s="15" t="s">
        <v>56</v>
      </c>
    </row>
    <row r="11" spans="1:23">
      <c r="A11" s="35">
        <v>7</v>
      </c>
      <c r="B11" s="74">
        <v>4.9000000000000004</v>
      </c>
      <c r="C11" s="75" t="s">
        <v>56</v>
      </c>
      <c r="D11" s="35">
        <v>4</v>
      </c>
      <c r="E11" s="75" t="s">
        <v>56</v>
      </c>
      <c r="F11" s="35">
        <v>4.5999999999999996</v>
      </c>
      <c r="G11" s="75" t="s">
        <v>56</v>
      </c>
      <c r="H11" s="35">
        <v>4.0999999999999996</v>
      </c>
      <c r="I11" s="15" t="s">
        <v>56</v>
      </c>
      <c r="J11" s="35">
        <v>4.3</v>
      </c>
      <c r="K11" s="15" t="s">
        <v>56</v>
      </c>
      <c r="L11" s="35">
        <v>4.3</v>
      </c>
      <c r="M11" s="15" t="s">
        <v>56</v>
      </c>
      <c r="N11" s="76">
        <v>4.3</v>
      </c>
      <c r="O11" s="15" t="s">
        <v>56</v>
      </c>
      <c r="P11" s="77">
        <v>4.68</v>
      </c>
      <c r="Q11" s="15" t="s">
        <v>56</v>
      </c>
      <c r="R11" s="49">
        <v>4.34</v>
      </c>
      <c r="S11" s="15" t="s">
        <v>56</v>
      </c>
      <c r="T11" s="34">
        <v>4.37</v>
      </c>
      <c r="U11" s="15" t="s">
        <v>56</v>
      </c>
      <c r="V11" s="49">
        <v>5.54</v>
      </c>
      <c r="W11" s="15" t="s">
        <v>56</v>
      </c>
    </row>
    <row r="12" spans="1:23">
      <c r="A12" s="35">
        <v>8</v>
      </c>
      <c r="B12" s="74">
        <v>4</v>
      </c>
      <c r="C12" s="75" t="s">
        <v>56</v>
      </c>
      <c r="D12" s="35">
        <v>4.0999999999999996</v>
      </c>
      <c r="E12" s="75" t="s">
        <v>56</v>
      </c>
      <c r="F12" s="35">
        <v>4.7</v>
      </c>
      <c r="G12" s="75" t="s">
        <v>56</v>
      </c>
      <c r="H12" s="35">
        <v>4</v>
      </c>
      <c r="I12" s="15" t="s">
        <v>56</v>
      </c>
      <c r="J12" s="35">
        <v>4.0999999999999996</v>
      </c>
      <c r="K12" s="15" t="s">
        <v>56</v>
      </c>
      <c r="L12" s="35">
        <v>4</v>
      </c>
      <c r="M12" s="15" t="s">
        <v>56</v>
      </c>
      <c r="N12" s="76">
        <v>4.0999999999999996</v>
      </c>
      <c r="O12" s="15" t="s">
        <v>56</v>
      </c>
      <c r="P12" s="77">
        <v>4.0999999999999996</v>
      </c>
      <c r="Q12" s="15" t="s">
        <v>56</v>
      </c>
      <c r="R12" s="49">
        <v>4.16</v>
      </c>
      <c r="S12" s="15" t="s">
        <v>56</v>
      </c>
      <c r="T12" s="34">
        <v>4.2</v>
      </c>
      <c r="U12" s="15" t="s">
        <v>56</v>
      </c>
      <c r="V12" s="49">
        <v>4.0999999999999996</v>
      </c>
      <c r="W12" s="15" t="s">
        <v>56</v>
      </c>
    </row>
    <row r="13" spans="1:23">
      <c r="A13" s="35">
        <v>9</v>
      </c>
      <c r="B13" s="74">
        <v>3.9</v>
      </c>
      <c r="C13" s="75" t="s">
        <v>56</v>
      </c>
      <c r="D13" s="35">
        <v>4.3</v>
      </c>
      <c r="E13" s="75" t="s">
        <v>56</v>
      </c>
      <c r="F13" s="35">
        <v>4.5</v>
      </c>
      <c r="G13" s="75" t="s">
        <v>56</v>
      </c>
      <c r="H13" s="35">
        <v>4.3</v>
      </c>
      <c r="I13" s="15" t="s">
        <v>56</v>
      </c>
      <c r="J13" s="35">
        <v>4</v>
      </c>
      <c r="K13" s="15" t="s">
        <v>56</v>
      </c>
      <c r="L13" s="35">
        <v>4.5999999999999996</v>
      </c>
      <c r="M13" s="15" t="s">
        <v>56</v>
      </c>
      <c r="N13" s="76">
        <v>4</v>
      </c>
      <c r="O13" s="15" t="s">
        <v>56</v>
      </c>
      <c r="P13" s="77">
        <v>4.4800000000000004</v>
      </c>
      <c r="Q13" s="15" t="s">
        <v>56</v>
      </c>
      <c r="R13" s="49">
        <v>5.01</v>
      </c>
      <c r="S13" s="15" t="s">
        <v>56</v>
      </c>
      <c r="T13" s="34">
        <v>4.9800000000000004</v>
      </c>
      <c r="U13" s="15" t="s">
        <v>56</v>
      </c>
      <c r="V13" s="49">
        <v>4.83</v>
      </c>
      <c r="W13" s="15" t="s">
        <v>56</v>
      </c>
    </row>
    <row r="14" spans="1:23">
      <c r="A14" s="35">
        <v>10</v>
      </c>
      <c r="B14" s="74">
        <v>4.0999999999999996</v>
      </c>
      <c r="C14" s="75" t="s">
        <v>56</v>
      </c>
      <c r="D14" s="35">
        <v>4.0999999999999996</v>
      </c>
      <c r="E14" s="75" t="s">
        <v>56</v>
      </c>
      <c r="F14" s="35">
        <v>4.3</v>
      </c>
      <c r="G14" s="75" t="s">
        <v>56</v>
      </c>
      <c r="H14" s="35">
        <v>4</v>
      </c>
      <c r="I14" s="15" t="s">
        <v>56</v>
      </c>
      <c r="J14" s="35">
        <v>4</v>
      </c>
      <c r="K14" s="15" t="s">
        <v>56</v>
      </c>
      <c r="L14" s="35">
        <v>4</v>
      </c>
      <c r="M14" s="15" t="s">
        <v>56</v>
      </c>
      <c r="N14" s="76">
        <v>4</v>
      </c>
      <c r="O14" s="15" t="s">
        <v>56</v>
      </c>
      <c r="P14" s="77">
        <v>4.26</v>
      </c>
      <c r="Q14" s="15" t="s">
        <v>56</v>
      </c>
      <c r="R14" s="49">
        <v>4.2300000000000004</v>
      </c>
      <c r="S14" s="15" t="s">
        <v>56</v>
      </c>
      <c r="T14" s="34">
        <v>4.2</v>
      </c>
      <c r="U14" s="15" t="s">
        <v>56</v>
      </c>
      <c r="V14" s="49">
        <v>4.05</v>
      </c>
      <c r="W14" s="15" t="s">
        <v>56</v>
      </c>
    </row>
    <row r="15" spans="1:23">
      <c r="A15" s="35">
        <v>11</v>
      </c>
      <c r="B15" s="74">
        <v>4.2</v>
      </c>
      <c r="C15" s="75" t="s">
        <v>56</v>
      </c>
      <c r="D15" s="35">
        <v>4.0999999999999996</v>
      </c>
      <c r="E15" s="75" t="s">
        <v>56</v>
      </c>
      <c r="F15" s="35">
        <v>4.0999999999999996</v>
      </c>
      <c r="G15" s="75" t="s">
        <v>56</v>
      </c>
      <c r="H15" s="35">
        <v>4</v>
      </c>
      <c r="I15" s="15" t="s">
        <v>56</v>
      </c>
      <c r="J15" s="35">
        <v>4</v>
      </c>
      <c r="K15" s="15" t="s">
        <v>56</v>
      </c>
      <c r="L15" s="35">
        <v>4</v>
      </c>
      <c r="M15" s="15" t="s">
        <v>56</v>
      </c>
      <c r="N15" s="76">
        <v>4</v>
      </c>
      <c r="O15" s="15" t="s">
        <v>56</v>
      </c>
      <c r="P15" s="77">
        <v>4.8</v>
      </c>
      <c r="Q15" s="15" t="s">
        <v>56</v>
      </c>
      <c r="R15" s="49">
        <v>4.17</v>
      </c>
      <c r="S15" s="15" t="s">
        <v>56</v>
      </c>
      <c r="T15" s="34">
        <v>4.1900000000000004</v>
      </c>
      <c r="U15" s="15" t="s">
        <v>56</v>
      </c>
      <c r="V15" s="49">
        <v>4.0999999999999996</v>
      </c>
      <c r="W15" s="15" t="s">
        <v>56</v>
      </c>
    </row>
    <row r="16" spans="1:23">
      <c r="A16" s="35">
        <v>12</v>
      </c>
      <c r="B16" s="74">
        <v>4.2</v>
      </c>
      <c r="C16" s="75" t="s">
        <v>56</v>
      </c>
      <c r="D16" s="35">
        <v>5.0999999999999996</v>
      </c>
      <c r="E16" s="75" t="s">
        <v>56</v>
      </c>
      <c r="F16" s="35">
        <v>5.9</v>
      </c>
      <c r="G16" s="75" t="s">
        <v>56</v>
      </c>
      <c r="H16" s="35">
        <v>4</v>
      </c>
      <c r="I16" s="15" t="s">
        <v>56</v>
      </c>
      <c r="J16" s="35">
        <v>4</v>
      </c>
      <c r="K16" s="15" t="s">
        <v>56</v>
      </c>
      <c r="L16" s="35">
        <v>5.0999999999999996</v>
      </c>
      <c r="M16" s="15" t="s">
        <v>56</v>
      </c>
      <c r="N16" s="76">
        <v>4</v>
      </c>
      <c r="O16" s="15" t="s">
        <v>56</v>
      </c>
      <c r="P16" s="77">
        <v>3.99</v>
      </c>
      <c r="Q16" s="15" t="s">
        <v>56</v>
      </c>
      <c r="R16" s="49">
        <v>7.04</v>
      </c>
      <c r="S16" s="15" t="s">
        <v>56</v>
      </c>
      <c r="T16" s="34">
        <v>8.92</v>
      </c>
      <c r="U16" s="15" t="s">
        <v>56</v>
      </c>
      <c r="V16" s="49">
        <v>8.5399999999999991</v>
      </c>
      <c r="W16" s="15" t="s">
        <v>56</v>
      </c>
    </row>
    <row r="17" spans="1:23">
      <c r="A17" s="35">
        <v>13</v>
      </c>
      <c r="B17" s="74">
        <v>4</v>
      </c>
      <c r="C17" s="75" t="s">
        <v>56</v>
      </c>
      <c r="D17" s="35">
        <v>4.2</v>
      </c>
      <c r="E17" s="75" t="s">
        <v>56</v>
      </c>
      <c r="F17" s="35">
        <v>4.4000000000000004</v>
      </c>
      <c r="G17" s="75" t="s">
        <v>56</v>
      </c>
      <c r="H17" s="35">
        <v>4.0999999999999996</v>
      </c>
      <c r="I17" s="15" t="s">
        <v>56</v>
      </c>
      <c r="J17" s="35">
        <v>4.0999999999999996</v>
      </c>
      <c r="K17" s="15" t="s">
        <v>56</v>
      </c>
      <c r="L17" s="35">
        <v>4.0999999999999996</v>
      </c>
      <c r="M17" s="15" t="s">
        <v>56</v>
      </c>
      <c r="N17" s="76">
        <v>4.0999999999999996</v>
      </c>
      <c r="O17" s="15" t="s">
        <v>56</v>
      </c>
      <c r="P17" s="77">
        <v>4.3899999999999997</v>
      </c>
      <c r="Q17" s="15" t="s">
        <v>56</v>
      </c>
      <c r="R17" s="49">
        <v>4.32</v>
      </c>
      <c r="S17" s="15" t="s">
        <v>56</v>
      </c>
      <c r="T17" s="34">
        <v>4.37</v>
      </c>
      <c r="U17" s="15" t="s">
        <v>56</v>
      </c>
      <c r="V17" s="49">
        <v>4.26</v>
      </c>
      <c r="W17" s="15" t="s">
        <v>56</v>
      </c>
    </row>
    <row r="18" spans="1:23">
      <c r="A18" s="35">
        <v>14</v>
      </c>
      <c r="B18" s="74">
        <v>4.4000000000000004</v>
      </c>
      <c r="C18" s="75" t="s">
        <v>56</v>
      </c>
      <c r="D18" s="35">
        <v>4</v>
      </c>
      <c r="E18" s="75" t="s">
        <v>56</v>
      </c>
      <c r="F18" s="35">
        <v>4.5</v>
      </c>
      <c r="G18" s="75" t="s">
        <v>56</v>
      </c>
      <c r="H18" s="35">
        <v>5</v>
      </c>
      <c r="I18" s="15" t="s">
        <v>56</v>
      </c>
      <c r="J18" s="35">
        <v>5.0999999999999996</v>
      </c>
      <c r="K18" s="15" t="s">
        <v>56</v>
      </c>
      <c r="L18" s="35">
        <v>3.9</v>
      </c>
      <c r="M18" s="15" t="s">
        <v>56</v>
      </c>
      <c r="N18" s="76">
        <v>5</v>
      </c>
      <c r="O18" s="15" t="s">
        <v>56</v>
      </c>
      <c r="P18" s="77">
        <v>6.27</v>
      </c>
      <c r="Q18" s="15" t="s">
        <v>56</v>
      </c>
      <c r="R18" s="49">
        <v>4.1500000000000004</v>
      </c>
      <c r="S18" s="15" t="s">
        <v>56</v>
      </c>
      <c r="T18" s="34">
        <v>4.1399999999999997</v>
      </c>
      <c r="U18" s="15" t="s">
        <v>56</v>
      </c>
      <c r="V18" s="49">
        <v>4.0999999999999996</v>
      </c>
      <c r="W18" s="15" t="s">
        <v>56</v>
      </c>
    </row>
    <row r="19" spans="1:23">
      <c r="A19" s="35">
        <v>15</v>
      </c>
      <c r="B19" s="74">
        <v>4.0999999999999996</v>
      </c>
      <c r="C19" s="75" t="s">
        <v>56</v>
      </c>
      <c r="D19" s="35">
        <v>4.5</v>
      </c>
      <c r="E19" s="75" t="s">
        <v>56</v>
      </c>
      <c r="F19" s="35">
        <v>4.8</v>
      </c>
      <c r="G19" s="75" t="s">
        <v>56</v>
      </c>
      <c r="H19" s="35">
        <v>3.9</v>
      </c>
      <c r="I19" s="15" t="s">
        <v>56</v>
      </c>
      <c r="J19" s="35">
        <v>4</v>
      </c>
      <c r="K19" s="15" t="s">
        <v>56</v>
      </c>
      <c r="L19" s="35">
        <v>4</v>
      </c>
      <c r="M19" s="15" t="s">
        <v>56</v>
      </c>
      <c r="N19" s="76">
        <v>4</v>
      </c>
      <c r="O19" s="15" t="s">
        <v>56</v>
      </c>
      <c r="P19" s="77">
        <v>4.03</v>
      </c>
      <c r="Q19" s="15" t="s">
        <v>56</v>
      </c>
      <c r="R19" s="49">
        <v>4.72</v>
      </c>
      <c r="S19" s="15" t="s">
        <v>56</v>
      </c>
      <c r="T19" s="34">
        <v>4.16</v>
      </c>
      <c r="U19" s="15" t="s">
        <v>56</v>
      </c>
      <c r="V19" s="49">
        <v>4.8600000000000003</v>
      </c>
      <c r="W19" s="15" t="s">
        <v>56</v>
      </c>
    </row>
    <row r="20" spans="1:23">
      <c r="A20" s="35">
        <v>16</v>
      </c>
      <c r="B20" s="74">
        <v>4.3</v>
      </c>
      <c r="C20" s="75" t="s">
        <v>56</v>
      </c>
      <c r="D20" s="35">
        <v>4.9000000000000004</v>
      </c>
      <c r="E20" s="75" t="s">
        <v>56</v>
      </c>
      <c r="F20" s="35">
        <v>4.4000000000000004</v>
      </c>
      <c r="G20" s="75" t="s">
        <v>56</v>
      </c>
      <c r="H20" s="35">
        <v>4.2</v>
      </c>
      <c r="I20" s="15" t="s">
        <v>56</v>
      </c>
      <c r="J20" s="35">
        <v>4.0999999999999996</v>
      </c>
      <c r="K20" s="15" t="s">
        <v>56</v>
      </c>
      <c r="L20" s="35">
        <v>4.3</v>
      </c>
      <c r="M20" s="15" t="s">
        <v>56</v>
      </c>
      <c r="N20" s="76">
        <v>4</v>
      </c>
      <c r="O20" s="15" t="s">
        <v>56</v>
      </c>
      <c r="P20" s="77">
        <v>4.03</v>
      </c>
      <c r="Q20" s="15" t="s">
        <v>56</v>
      </c>
      <c r="R20" s="49">
        <v>4.4000000000000004</v>
      </c>
      <c r="S20" s="15" t="s">
        <v>56</v>
      </c>
      <c r="T20" s="34">
        <v>4.5999999999999996</v>
      </c>
      <c r="U20" s="15" t="s">
        <v>56</v>
      </c>
      <c r="V20" s="49">
        <v>5.28</v>
      </c>
      <c r="W20" s="15" t="s">
        <v>56</v>
      </c>
    </row>
    <row r="21" spans="1:23">
      <c r="A21" s="35">
        <v>17</v>
      </c>
      <c r="B21" s="74">
        <v>4.2</v>
      </c>
      <c r="C21" s="75" t="s">
        <v>56</v>
      </c>
      <c r="D21" s="35">
        <v>4</v>
      </c>
      <c r="E21" s="75" t="s">
        <v>56</v>
      </c>
      <c r="F21" s="35">
        <v>4.8</v>
      </c>
      <c r="G21" s="75" t="s">
        <v>56</v>
      </c>
      <c r="H21" s="35">
        <v>4</v>
      </c>
      <c r="I21" s="15" t="s">
        <v>56</v>
      </c>
      <c r="J21" s="35">
        <v>4.5</v>
      </c>
      <c r="K21" s="15" t="s">
        <v>56</v>
      </c>
      <c r="L21" s="35">
        <v>4</v>
      </c>
      <c r="M21" s="15" t="s">
        <v>56</v>
      </c>
      <c r="N21" s="76">
        <v>4.5</v>
      </c>
      <c r="O21" s="15" t="s">
        <v>56</v>
      </c>
      <c r="P21" s="77">
        <v>4.91</v>
      </c>
      <c r="Q21" s="15" t="s">
        <v>56</v>
      </c>
      <c r="R21" s="49">
        <v>4.3</v>
      </c>
      <c r="S21" s="15" t="s">
        <v>56</v>
      </c>
      <c r="T21" s="34">
        <v>5.39</v>
      </c>
      <c r="U21" s="15" t="s">
        <v>56</v>
      </c>
      <c r="V21" s="49">
        <v>4.66</v>
      </c>
      <c r="W21" s="15" t="s">
        <v>56</v>
      </c>
    </row>
    <row r="22" spans="1:23">
      <c r="A22" s="35">
        <v>18</v>
      </c>
      <c r="B22" s="74">
        <v>4.3</v>
      </c>
      <c r="C22" s="75" t="s">
        <v>56</v>
      </c>
      <c r="D22" s="35">
        <v>3.8</v>
      </c>
      <c r="E22" s="75" t="s">
        <v>56</v>
      </c>
      <c r="F22" s="35">
        <v>5.5</v>
      </c>
      <c r="G22" s="75" t="s">
        <v>56</v>
      </c>
      <c r="H22" s="35">
        <v>3.8</v>
      </c>
      <c r="I22" s="15" t="s">
        <v>56</v>
      </c>
      <c r="J22" s="35">
        <v>3.9</v>
      </c>
      <c r="K22" s="15" t="s">
        <v>56</v>
      </c>
      <c r="L22" s="35">
        <v>3.8</v>
      </c>
      <c r="M22" s="15" t="s">
        <v>56</v>
      </c>
      <c r="N22" s="76">
        <v>3.9</v>
      </c>
      <c r="O22" s="15" t="s">
        <v>56</v>
      </c>
      <c r="P22" s="77">
        <v>3.95</v>
      </c>
      <c r="Q22" s="15" t="s">
        <v>56</v>
      </c>
      <c r="R22" s="49">
        <v>4.13</v>
      </c>
      <c r="S22" s="15" t="s">
        <v>56</v>
      </c>
      <c r="T22" s="34">
        <v>4.96</v>
      </c>
      <c r="U22" s="15" t="s">
        <v>56</v>
      </c>
      <c r="V22" s="49">
        <v>4.0599999999999996</v>
      </c>
      <c r="W22" s="15" t="s">
        <v>56</v>
      </c>
    </row>
    <row r="23" spans="1:23">
      <c r="A23" s="35">
        <v>19</v>
      </c>
      <c r="B23" s="74">
        <v>4.2</v>
      </c>
      <c r="C23" s="75" t="s">
        <v>56</v>
      </c>
      <c r="D23" s="35">
        <v>4.3</v>
      </c>
      <c r="E23" s="75" t="s">
        <v>56</v>
      </c>
      <c r="F23" s="35">
        <v>4.7</v>
      </c>
      <c r="G23" s="75" t="s">
        <v>56</v>
      </c>
      <c r="H23" s="35">
        <v>4.5</v>
      </c>
      <c r="I23" s="15" t="s">
        <v>56</v>
      </c>
      <c r="J23" s="35">
        <v>4.0999999999999996</v>
      </c>
      <c r="K23" s="15" t="s">
        <v>56</v>
      </c>
      <c r="L23" s="35">
        <v>4.5</v>
      </c>
      <c r="M23" s="15" t="s">
        <v>56</v>
      </c>
      <c r="N23" s="76">
        <v>4.0999999999999996</v>
      </c>
      <c r="O23" s="15" t="s">
        <v>56</v>
      </c>
      <c r="P23" s="77">
        <v>4.0199999999999996</v>
      </c>
      <c r="Q23" s="15" t="s">
        <v>56</v>
      </c>
      <c r="R23" s="49">
        <v>4.74</v>
      </c>
      <c r="S23" s="15" t="s">
        <v>56</v>
      </c>
      <c r="T23" s="34">
        <v>4.9800000000000004</v>
      </c>
      <c r="U23" s="15" t="s">
        <v>56</v>
      </c>
      <c r="V23" s="49">
        <v>5.01</v>
      </c>
      <c r="W23" s="15" t="s">
        <v>56</v>
      </c>
    </row>
    <row r="24" spans="1:23">
      <c r="A24" s="35">
        <v>20</v>
      </c>
      <c r="B24" s="74">
        <v>4.2</v>
      </c>
      <c r="C24" s="75" t="s">
        <v>56</v>
      </c>
      <c r="D24" s="35">
        <v>3.9</v>
      </c>
      <c r="E24" s="75" t="s">
        <v>56</v>
      </c>
      <c r="F24" s="35">
        <v>4.5999999999999996</v>
      </c>
      <c r="G24" s="75" t="s">
        <v>56</v>
      </c>
      <c r="H24" s="35">
        <v>3.9</v>
      </c>
      <c r="I24" s="15" t="s">
        <v>56</v>
      </c>
      <c r="J24" s="35">
        <v>4.0999999999999996</v>
      </c>
      <c r="K24" s="15" t="s">
        <v>56</v>
      </c>
      <c r="L24" s="35">
        <v>3.9</v>
      </c>
      <c r="M24" s="15" t="s">
        <v>56</v>
      </c>
      <c r="N24" s="76">
        <v>4.0999999999999996</v>
      </c>
      <c r="O24" s="15" t="s">
        <v>56</v>
      </c>
      <c r="P24" s="77">
        <v>4.0599999999999996</v>
      </c>
      <c r="Q24" s="15" t="s">
        <v>56</v>
      </c>
      <c r="R24" s="49">
        <v>4.25</v>
      </c>
      <c r="S24" s="15" t="s">
        <v>56</v>
      </c>
      <c r="T24" s="34">
        <v>4.1500000000000004</v>
      </c>
      <c r="U24" s="15" t="s">
        <v>56</v>
      </c>
      <c r="V24" s="49">
        <v>7.7</v>
      </c>
      <c r="W24" s="15" t="s">
        <v>56</v>
      </c>
    </row>
    <row r="26" spans="1:23">
      <c r="A26" s="15" t="s">
        <v>42</v>
      </c>
    </row>
    <row r="27" spans="1:23">
      <c r="A27" s="15" t="s">
        <v>157</v>
      </c>
      <c r="B27" s="15" t="s">
        <v>167</v>
      </c>
      <c r="J27" s="15"/>
      <c r="K27" s="15"/>
    </row>
    <row r="28" spans="1:23">
      <c r="A28" s="15" t="s">
        <v>128</v>
      </c>
      <c r="B28" s="15" t="s">
        <v>159</v>
      </c>
      <c r="J28" s="15"/>
      <c r="K28" s="15"/>
    </row>
    <row r="29" spans="1:23">
      <c r="A29" s="15" t="s">
        <v>129</v>
      </c>
      <c r="B29" s="73">
        <v>43468</v>
      </c>
      <c r="C29" s="15" t="s">
        <v>160</v>
      </c>
      <c r="D29" s="15" t="s">
        <v>161</v>
      </c>
      <c r="E29" s="15" t="s">
        <v>162</v>
      </c>
      <c r="F29" s="15" t="s">
        <v>163</v>
      </c>
      <c r="G29" s="15" t="s">
        <v>164</v>
      </c>
      <c r="H29" s="15" t="s">
        <v>90</v>
      </c>
      <c r="I29" s="15" t="s">
        <v>91</v>
      </c>
      <c r="J29" s="15" t="s">
        <v>6</v>
      </c>
      <c r="K29" s="15" t="s">
        <v>92</v>
      </c>
      <c r="L29" s="15" t="s">
        <v>7</v>
      </c>
      <c r="M29" s="15" t="s">
        <v>93</v>
      </c>
      <c r="N29" s="15" t="s">
        <v>133</v>
      </c>
      <c r="O29" s="15" t="s">
        <v>134</v>
      </c>
      <c r="S29" s="31">
        <v>44024</v>
      </c>
      <c r="T29" s="15" t="s">
        <v>98</v>
      </c>
      <c r="V29" s="15" t="s">
        <v>102</v>
      </c>
      <c r="W29" s="15" t="s">
        <v>103</v>
      </c>
    </row>
    <row r="30" spans="1:23">
      <c r="A30" s="35">
        <v>1</v>
      </c>
      <c r="B30" s="74">
        <v>9.4</v>
      </c>
      <c r="C30" s="15" t="s">
        <v>56</v>
      </c>
      <c r="D30" s="35">
        <v>9.5</v>
      </c>
      <c r="E30" s="15" t="s">
        <v>56</v>
      </c>
      <c r="F30" s="35">
        <v>11.4</v>
      </c>
      <c r="G30" s="15" t="s">
        <v>56</v>
      </c>
      <c r="H30" s="78">
        <v>11.6</v>
      </c>
      <c r="I30" s="15" t="s">
        <v>56</v>
      </c>
      <c r="J30" s="45">
        <v>28.8</v>
      </c>
      <c r="K30" s="79" t="s">
        <v>70</v>
      </c>
      <c r="L30" s="35">
        <v>7.5</v>
      </c>
      <c r="M30" s="15" t="s">
        <v>56</v>
      </c>
      <c r="N30" s="35">
        <v>8.1</v>
      </c>
      <c r="O30" s="15" t="s">
        <v>60</v>
      </c>
      <c r="Q30" s="77">
        <v>4.53</v>
      </c>
      <c r="S30" s="49">
        <v>6.97</v>
      </c>
      <c r="T30" s="15" t="s">
        <v>56</v>
      </c>
      <c r="V30" s="80">
        <v>2.8</v>
      </c>
      <c r="W30" s="15" t="s">
        <v>56</v>
      </c>
    </row>
    <row r="31" spans="1:23">
      <c r="A31" s="35">
        <v>2</v>
      </c>
      <c r="B31" s="74">
        <v>8.8000000000000007</v>
      </c>
      <c r="C31" s="15" t="s">
        <v>56</v>
      </c>
      <c r="D31" s="35">
        <v>8.1999999999999993</v>
      </c>
      <c r="E31" s="15" t="s">
        <v>56</v>
      </c>
      <c r="F31" s="35">
        <v>8.6</v>
      </c>
      <c r="G31" s="15" t="s">
        <v>56</v>
      </c>
      <c r="H31" s="78">
        <v>8.5</v>
      </c>
      <c r="I31" s="15" t="s">
        <v>56</v>
      </c>
      <c r="J31" s="45">
        <v>290.3</v>
      </c>
      <c r="K31" s="81" t="s">
        <v>70</v>
      </c>
      <c r="L31" s="45">
        <v>246.8</v>
      </c>
      <c r="M31" s="15" t="s">
        <v>60</v>
      </c>
      <c r="N31" s="35">
        <v>7.2</v>
      </c>
      <c r="O31" s="15" t="s">
        <v>60</v>
      </c>
      <c r="Q31" s="77">
        <v>4.51</v>
      </c>
      <c r="S31" s="49">
        <v>4.6900000000000004</v>
      </c>
      <c r="T31" s="15" t="s">
        <v>56</v>
      </c>
      <c r="V31" s="80">
        <v>3.2</v>
      </c>
      <c r="W31" s="15" t="s">
        <v>56</v>
      </c>
    </row>
    <row r="32" spans="1:23">
      <c r="A32" s="35">
        <v>3</v>
      </c>
      <c r="B32" s="74">
        <v>9.5</v>
      </c>
      <c r="C32" s="15" t="s">
        <v>56</v>
      </c>
      <c r="D32" s="35">
        <v>8.3000000000000007</v>
      </c>
      <c r="E32" s="15" t="s">
        <v>56</v>
      </c>
      <c r="F32" s="35">
        <v>9.1</v>
      </c>
      <c r="G32" s="15" t="s">
        <v>56</v>
      </c>
      <c r="H32" s="78">
        <v>9.6999999999999993</v>
      </c>
      <c r="I32" s="15" t="s">
        <v>56</v>
      </c>
      <c r="J32" s="45">
        <v>9999</v>
      </c>
      <c r="K32" s="81" t="s">
        <v>70</v>
      </c>
      <c r="L32" s="35">
        <v>6.6</v>
      </c>
      <c r="M32" s="15" t="s">
        <v>56</v>
      </c>
      <c r="N32" s="35">
        <v>11</v>
      </c>
      <c r="O32" s="15" t="s">
        <v>60</v>
      </c>
      <c r="Q32" s="77">
        <v>4.43</v>
      </c>
      <c r="S32" s="49">
        <v>6.61</v>
      </c>
      <c r="T32" s="15" t="s">
        <v>56</v>
      </c>
      <c r="V32" s="80">
        <v>3.2</v>
      </c>
      <c r="W32" s="15" t="s">
        <v>56</v>
      </c>
    </row>
    <row r="33" spans="1:23">
      <c r="A33" s="35">
        <v>4</v>
      </c>
      <c r="B33" s="74">
        <v>8.3000000000000007</v>
      </c>
      <c r="C33" s="15" t="s">
        <v>56</v>
      </c>
      <c r="D33" s="35">
        <v>7.9</v>
      </c>
      <c r="E33" s="15" t="s">
        <v>56</v>
      </c>
      <c r="F33" s="35">
        <v>8.3000000000000007</v>
      </c>
      <c r="G33" s="15" t="s">
        <v>56</v>
      </c>
      <c r="H33" s="78">
        <v>8.6</v>
      </c>
      <c r="I33" s="15" t="s">
        <v>56</v>
      </c>
      <c r="J33" s="45">
        <v>9999</v>
      </c>
      <c r="K33" s="81" t="s">
        <v>70</v>
      </c>
      <c r="L33" s="35">
        <v>6.2</v>
      </c>
      <c r="M33" s="15" t="s">
        <v>56</v>
      </c>
      <c r="N33" s="35">
        <v>7.9</v>
      </c>
      <c r="O33" s="15" t="s">
        <v>60</v>
      </c>
      <c r="Q33" s="77">
        <v>5.19</v>
      </c>
      <c r="S33" s="49">
        <v>7.85</v>
      </c>
      <c r="T33" s="15" t="s">
        <v>56</v>
      </c>
      <c r="V33" s="80">
        <v>3.2</v>
      </c>
      <c r="W33" s="15" t="s">
        <v>56</v>
      </c>
    </row>
    <row r="34" spans="1:23">
      <c r="A34" s="35">
        <v>5</v>
      </c>
      <c r="B34" s="74">
        <v>9.1</v>
      </c>
      <c r="C34" s="15" t="s">
        <v>56</v>
      </c>
      <c r="D34" s="35">
        <v>8.6999999999999993</v>
      </c>
      <c r="E34" s="15" t="s">
        <v>56</v>
      </c>
      <c r="F34" s="35">
        <v>9.6999999999999993</v>
      </c>
      <c r="G34" s="15" t="s">
        <v>56</v>
      </c>
      <c r="H34" s="78">
        <v>10.9</v>
      </c>
      <c r="I34" s="15" t="s">
        <v>56</v>
      </c>
      <c r="J34" s="45">
        <v>9999</v>
      </c>
      <c r="K34" s="81" t="s">
        <v>70</v>
      </c>
      <c r="L34" s="35">
        <v>6.7</v>
      </c>
      <c r="M34" s="15" t="s">
        <v>56</v>
      </c>
      <c r="N34" s="35">
        <v>6.2</v>
      </c>
      <c r="O34" s="15" t="s">
        <v>60</v>
      </c>
      <c r="Q34" s="77">
        <v>4.38</v>
      </c>
      <c r="S34" s="49">
        <v>7.18</v>
      </c>
      <c r="T34" s="15" t="s">
        <v>56</v>
      </c>
      <c r="V34" s="80">
        <v>3.4</v>
      </c>
      <c r="W34" s="15" t="s">
        <v>56</v>
      </c>
    </row>
    <row r="35" spans="1:23">
      <c r="A35" s="35">
        <v>6</v>
      </c>
      <c r="B35" s="74">
        <v>8.1999999999999993</v>
      </c>
      <c r="C35" s="15" t="s">
        <v>56</v>
      </c>
      <c r="D35" s="35">
        <v>8.1999999999999993</v>
      </c>
      <c r="E35" s="15" t="s">
        <v>56</v>
      </c>
      <c r="F35" s="35">
        <v>8.9</v>
      </c>
      <c r="G35" s="15" t="s">
        <v>56</v>
      </c>
      <c r="H35" s="78">
        <v>9.3000000000000007</v>
      </c>
      <c r="I35" s="15" t="s">
        <v>56</v>
      </c>
      <c r="J35" s="45">
        <v>9999</v>
      </c>
      <c r="K35" s="81" t="s">
        <v>70</v>
      </c>
      <c r="L35" s="35">
        <v>10</v>
      </c>
      <c r="M35" s="15" t="s">
        <v>56</v>
      </c>
      <c r="N35" s="35">
        <v>5.9</v>
      </c>
      <c r="O35" s="15" t="s">
        <v>60</v>
      </c>
      <c r="Q35" s="77">
        <v>4.78</v>
      </c>
      <c r="S35" s="56">
        <v>12.09</v>
      </c>
      <c r="T35" s="15" t="s">
        <v>58</v>
      </c>
      <c r="V35" s="80">
        <v>2.8</v>
      </c>
      <c r="W35" s="15" t="s">
        <v>56</v>
      </c>
    </row>
    <row r="36" spans="1:23">
      <c r="A36" s="35">
        <v>7</v>
      </c>
      <c r="B36" s="74">
        <v>7.6</v>
      </c>
      <c r="C36" s="15" t="s">
        <v>56</v>
      </c>
      <c r="D36" s="35">
        <v>8.5</v>
      </c>
      <c r="E36" s="15" t="s">
        <v>56</v>
      </c>
      <c r="F36" s="35">
        <v>9</v>
      </c>
      <c r="G36" s="15" t="s">
        <v>56</v>
      </c>
      <c r="H36" s="78">
        <v>9.4</v>
      </c>
      <c r="I36" s="15" t="s">
        <v>56</v>
      </c>
      <c r="J36" s="45">
        <v>9999</v>
      </c>
      <c r="K36" s="81" t="s">
        <v>70</v>
      </c>
      <c r="L36" s="35">
        <v>5.7</v>
      </c>
      <c r="M36" s="15" t="s">
        <v>56</v>
      </c>
      <c r="N36" s="45">
        <v>9999</v>
      </c>
      <c r="O36" s="15" t="s">
        <v>60</v>
      </c>
      <c r="Q36" s="77">
        <v>4.68</v>
      </c>
      <c r="S36" s="49">
        <v>6.4</v>
      </c>
      <c r="T36" s="15" t="s">
        <v>56</v>
      </c>
      <c r="V36" s="80">
        <v>3.1</v>
      </c>
      <c r="W36" s="15" t="s">
        <v>56</v>
      </c>
    </row>
    <row r="37" spans="1:23">
      <c r="A37" s="35">
        <v>8</v>
      </c>
      <c r="B37" s="74">
        <v>7.9</v>
      </c>
      <c r="C37" s="15" t="s">
        <v>56</v>
      </c>
      <c r="D37" s="35">
        <v>9</v>
      </c>
      <c r="E37" s="15" t="s">
        <v>56</v>
      </c>
      <c r="F37" s="35">
        <v>9.6</v>
      </c>
      <c r="G37" s="15" t="s">
        <v>56</v>
      </c>
      <c r="H37" s="78">
        <v>10.199999999999999</v>
      </c>
      <c r="I37" s="15" t="s">
        <v>56</v>
      </c>
      <c r="J37" s="45">
        <v>9999</v>
      </c>
      <c r="K37" s="81" t="s">
        <v>70</v>
      </c>
      <c r="L37" s="35">
        <v>8.9</v>
      </c>
      <c r="M37" s="15" t="s">
        <v>56</v>
      </c>
      <c r="N37" s="35">
        <v>5.2</v>
      </c>
      <c r="O37" s="15" t="s">
        <v>56</v>
      </c>
      <c r="Q37" s="77">
        <v>4.0999999999999996</v>
      </c>
      <c r="S37" s="49">
        <v>10.37</v>
      </c>
      <c r="T37" s="15" t="s">
        <v>56</v>
      </c>
      <c r="V37" s="80">
        <v>3.5</v>
      </c>
      <c r="W37" s="15" t="s">
        <v>56</v>
      </c>
    </row>
    <row r="38" spans="1:23">
      <c r="A38" s="35">
        <v>9</v>
      </c>
      <c r="B38" s="74">
        <v>8.6</v>
      </c>
      <c r="C38" s="15" t="s">
        <v>56</v>
      </c>
      <c r="D38" s="35">
        <v>10.4</v>
      </c>
      <c r="E38" s="15" t="s">
        <v>56</v>
      </c>
      <c r="F38" s="35">
        <v>11.5</v>
      </c>
      <c r="G38" s="15" t="s">
        <v>56</v>
      </c>
      <c r="H38" s="78">
        <v>11</v>
      </c>
      <c r="I38" s="15" t="s">
        <v>56</v>
      </c>
      <c r="J38" s="45">
        <v>9999</v>
      </c>
      <c r="K38" s="81" t="s">
        <v>70</v>
      </c>
      <c r="L38" s="35">
        <v>11.2</v>
      </c>
      <c r="M38" s="15" t="s">
        <v>56</v>
      </c>
      <c r="N38" s="35">
        <v>10.199999999999999</v>
      </c>
      <c r="O38" s="15" t="s">
        <v>56</v>
      </c>
      <c r="Q38" s="77">
        <v>4.4800000000000004</v>
      </c>
      <c r="S38" s="49">
        <v>8.16</v>
      </c>
      <c r="T38" s="15" t="s">
        <v>56</v>
      </c>
      <c r="V38" s="80">
        <v>3.2</v>
      </c>
      <c r="W38" s="15" t="s">
        <v>56</v>
      </c>
    </row>
    <row r="39" spans="1:23">
      <c r="A39" s="35">
        <v>10</v>
      </c>
      <c r="B39" s="74">
        <v>8.1</v>
      </c>
      <c r="C39" s="15" t="s">
        <v>56</v>
      </c>
      <c r="D39" s="35">
        <v>8.1999999999999993</v>
      </c>
      <c r="E39" s="15" t="s">
        <v>56</v>
      </c>
      <c r="F39" s="35">
        <v>8.8000000000000007</v>
      </c>
      <c r="G39" s="15" t="s">
        <v>56</v>
      </c>
      <c r="H39" s="78">
        <v>9.1999999999999993</v>
      </c>
      <c r="I39" s="15" t="s">
        <v>56</v>
      </c>
      <c r="J39" s="45">
        <v>9999</v>
      </c>
      <c r="K39" s="81" t="s">
        <v>70</v>
      </c>
      <c r="L39" s="35">
        <v>8.6999999999999993</v>
      </c>
      <c r="M39" s="15" t="s">
        <v>56</v>
      </c>
      <c r="N39" s="35">
        <v>5.5</v>
      </c>
      <c r="O39" s="15" t="s">
        <v>56</v>
      </c>
      <c r="Q39" s="77">
        <v>4.26</v>
      </c>
      <c r="S39" s="49">
        <v>7.21</v>
      </c>
      <c r="T39" s="15" t="s">
        <v>56</v>
      </c>
      <c r="V39" s="80">
        <v>3.2</v>
      </c>
      <c r="W39" s="15" t="s">
        <v>56</v>
      </c>
    </row>
    <row r="40" spans="1:23">
      <c r="A40" s="35">
        <v>11</v>
      </c>
      <c r="B40" s="74">
        <v>8.5</v>
      </c>
      <c r="C40" s="15" t="s">
        <v>56</v>
      </c>
      <c r="D40" s="35">
        <v>7.7</v>
      </c>
      <c r="E40" s="15" t="s">
        <v>56</v>
      </c>
      <c r="F40" s="35">
        <v>8</v>
      </c>
      <c r="G40" s="15" t="s">
        <v>56</v>
      </c>
      <c r="H40" s="78">
        <v>8.5</v>
      </c>
      <c r="I40" s="15" t="s">
        <v>56</v>
      </c>
      <c r="J40" s="45">
        <v>9999</v>
      </c>
      <c r="K40" s="81" t="s">
        <v>70</v>
      </c>
      <c r="L40" s="45">
        <v>29.4</v>
      </c>
      <c r="M40" s="15" t="s">
        <v>60</v>
      </c>
      <c r="N40" s="35">
        <v>5.7</v>
      </c>
      <c r="O40" s="15" t="s">
        <v>56</v>
      </c>
      <c r="Q40" s="77">
        <v>4.8</v>
      </c>
      <c r="S40" s="58">
        <v>23.05</v>
      </c>
      <c r="T40" s="15" t="s">
        <v>60</v>
      </c>
      <c r="V40" s="80">
        <v>3</v>
      </c>
      <c r="W40" s="15" t="s">
        <v>56</v>
      </c>
    </row>
    <row r="41" spans="1:23">
      <c r="A41" s="35">
        <v>12</v>
      </c>
      <c r="B41" s="74">
        <v>9</v>
      </c>
      <c r="C41" s="15" t="s">
        <v>56</v>
      </c>
      <c r="D41" s="35">
        <v>7.9</v>
      </c>
      <c r="E41" s="15" t="s">
        <v>56</v>
      </c>
      <c r="F41" s="35">
        <v>8.3000000000000007</v>
      </c>
      <c r="G41" s="15" t="s">
        <v>56</v>
      </c>
      <c r="H41" s="78">
        <v>8.8000000000000007</v>
      </c>
      <c r="I41" s="15" t="s">
        <v>56</v>
      </c>
      <c r="J41" s="45">
        <v>9999</v>
      </c>
      <c r="K41" s="81" t="s">
        <v>70</v>
      </c>
      <c r="L41" s="35">
        <v>10.199999999999999</v>
      </c>
      <c r="M41" s="15" t="s">
        <v>56</v>
      </c>
      <c r="N41" s="35">
        <v>5.7</v>
      </c>
      <c r="O41" s="15" t="s">
        <v>56</v>
      </c>
      <c r="Q41" s="77">
        <v>3.99</v>
      </c>
      <c r="S41" s="49">
        <v>9.75</v>
      </c>
      <c r="T41" s="15" t="s">
        <v>56</v>
      </c>
      <c r="V41" s="80">
        <v>3.2</v>
      </c>
      <c r="W41" s="15" t="s">
        <v>56</v>
      </c>
    </row>
    <row r="42" spans="1:23">
      <c r="B42" s="82">
        <v>9.3000000000000007</v>
      </c>
      <c r="C42" s="35"/>
      <c r="D42" s="83">
        <v>10</v>
      </c>
      <c r="E42" s="35"/>
      <c r="F42" s="83">
        <v>153.4</v>
      </c>
      <c r="G42" s="78"/>
      <c r="H42" s="84">
        <v>191.7</v>
      </c>
      <c r="L42" s="84">
        <v>7.9</v>
      </c>
      <c r="N42" s="84">
        <v>5.9</v>
      </c>
      <c r="Q42" s="77">
        <v>4.3899999999999997</v>
      </c>
      <c r="S42" s="56">
        <v>15.44</v>
      </c>
      <c r="T42" s="15" t="s">
        <v>107</v>
      </c>
      <c r="V42" s="80">
        <v>2.8</v>
      </c>
      <c r="W42" s="15" t="s">
        <v>56</v>
      </c>
    </row>
    <row r="43" spans="1:23">
      <c r="A43" s="15" t="s">
        <v>43</v>
      </c>
      <c r="B43" s="82">
        <v>7.7</v>
      </c>
      <c r="C43" s="85" t="s">
        <v>168</v>
      </c>
      <c r="D43" s="83">
        <v>9</v>
      </c>
      <c r="E43" s="35"/>
      <c r="F43" s="83">
        <v>10.7</v>
      </c>
      <c r="G43" s="78"/>
      <c r="H43" s="84">
        <v>10.4</v>
      </c>
      <c r="L43" s="84">
        <v>136.6</v>
      </c>
      <c r="N43" s="84">
        <v>26.7</v>
      </c>
      <c r="Q43" s="77">
        <v>6.27</v>
      </c>
      <c r="S43" s="49">
        <v>9.9499999999999993</v>
      </c>
      <c r="T43" s="15" t="s">
        <v>56</v>
      </c>
      <c r="V43" s="80">
        <v>2.6</v>
      </c>
      <c r="W43" s="15" t="s">
        <v>56</v>
      </c>
    </row>
    <row r="44" spans="1:23">
      <c r="A44" s="15" t="s">
        <v>169</v>
      </c>
      <c r="B44" s="82">
        <v>8.1999999999999993</v>
      </c>
      <c r="C44" s="35"/>
      <c r="D44" s="83">
        <v>9.6999999999999993</v>
      </c>
      <c r="E44" s="35"/>
      <c r="F44" s="83">
        <v>11.9</v>
      </c>
      <c r="G44" s="78"/>
      <c r="H44" s="84">
        <v>12.5</v>
      </c>
      <c r="L44" s="84">
        <v>7.4</v>
      </c>
      <c r="N44" s="84">
        <v>6.6</v>
      </c>
      <c r="Q44" s="77">
        <v>4.03</v>
      </c>
      <c r="S44" s="49">
        <v>8</v>
      </c>
      <c r="T44" s="15" t="s">
        <v>56</v>
      </c>
      <c r="V44" s="80">
        <v>2.6</v>
      </c>
      <c r="W44" s="15" t="s">
        <v>56</v>
      </c>
    </row>
    <row r="45" spans="1:23">
      <c r="A45" s="15" t="s">
        <v>170</v>
      </c>
      <c r="B45" s="82">
        <v>7.9</v>
      </c>
      <c r="C45" s="35"/>
      <c r="D45" s="83">
        <v>8.4</v>
      </c>
      <c r="E45" s="35"/>
      <c r="F45" s="83">
        <v>9.4</v>
      </c>
      <c r="G45" s="78"/>
      <c r="H45" s="84">
        <v>10.1</v>
      </c>
      <c r="L45" s="84">
        <v>14.4</v>
      </c>
      <c r="N45" s="84">
        <v>5.6</v>
      </c>
      <c r="Q45" s="77">
        <v>4.03</v>
      </c>
      <c r="S45" s="49">
        <v>6.57</v>
      </c>
      <c r="T45" s="15" t="s">
        <v>56</v>
      </c>
      <c r="V45" s="80">
        <v>3.1</v>
      </c>
      <c r="W45" s="15" t="s">
        <v>56</v>
      </c>
    </row>
    <row r="46" spans="1:23">
      <c r="A46" s="15" t="s">
        <v>129</v>
      </c>
      <c r="B46" s="73">
        <v>43468</v>
      </c>
      <c r="C46" s="15" t="s">
        <v>160</v>
      </c>
      <c r="D46" s="15" t="s">
        <v>161</v>
      </c>
      <c r="E46" s="15" t="s">
        <v>162</v>
      </c>
      <c r="F46" s="15" t="s">
        <v>163</v>
      </c>
      <c r="G46" s="15" t="s">
        <v>164</v>
      </c>
      <c r="H46" s="15" t="s">
        <v>90</v>
      </c>
      <c r="I46" s="15" t="s">
        <v>91</v>
      </c>
      <c r="J46" s="15" t="s">
        <v>6</v>
      </c>
      <c r="K46" s="15" t="s">
        <v>92</v>
      </c>
      <c r="L46" s="15" t="s">
        <v>7</v>
      </c>
      <c r="M46" s="15" t="s">
        <v>93</v>
      </c>
      <c r="N46" s="15" t="s">
        <v>133</v>
      </c>
      <c r="O46" s="15" t="s">
        <v>134</v>
      </c>
      <c r="Q46" s="86">
        <v>4.91</v>
      </c>
      <c r="S46" s="15" t="s">
        <v>99</v>
      </c>
      <c r="T46" s="15" t="s">
        <v>100</v>
      </c>
      <c r="V46" s="31">
        <v>44264</v>
      </c>
      <c r="W46" s="15" t="s">
        <v>101</v>
      </c>
    </row>
    <row r="47" spans="1:23">
      <c r="A47" s="35">
        <v>1</v>
      </c>
      <c r="B47" s="74">
        <v>4.2</v>
      </c>
      <c r="C47" s="35"/>
      <c r="D47" s="35">
        <v>7.2</v>
      </c>
      <c r="E47" s="35"/>
      <c r="F47" s="35">
        <v>7.6</v>
      </c>
      <c r="G47" s="35"/>
      <c r="H47" s="35">
        <v>9</v>
      </c>
      <c r="J47" s="35">
        <v>4</v>
      </c>
      <c r="L47" s="35">
        <v>6.4</v>
      </c>
      <c r="N47" s="35">
        <v>4</v>
      </c>
      <c r="P47" s="77">
        <v>4.07</v>
      </c>
      <c r="Q47" s="86">
        <v>3.95</v>
      </c>
      <c r="S47" s="53">
        <v>9999</v>
      </c>
      <c r="T47" s="15" t="s">
        <v>60</v>
      </c>
      <c r="V47" s="49">
        <v>7.63</v>
      </c>
      <c r="W47" s="15" t="s">
        <v>56</v>
      </c>
    </row>
    <row r="48" spans="1:23">
      <c r="A48" s="35">
        <v>2</v>
      </c>
      <c r="B48" s="74">
        <v>6.8</v>
      </c>
      <c r="C48" s="35"/>
      <c r="D48" s="35">
        <v>7.1</v>
      </c>
      <c r="E48" s="35"/>
      <c r="F48" s="35">
        <v>7.2</v>
      </c>
      <c r="G48" s="35"/>
      <c r="H48" s="35">
        <v>12.4</v>
      </c>
      <c r="J48" s="35">
        <v>4.2</v>
      </c>
      <c r="L48" s="35">
        <v>7.4</v>
      </c>
      <c r="N48" s="35">
        <v>4.9000000000000004</v>
      </c>
      <c r="P48" s="77">
        <v>4.92</v>
      </c>
      <c r="Q48" s="86">
        <v>4.0199999999999996</v>
      </c>
      <c r="S48" s="34">
        <v>4.6100000000000003</v>
      </c>
      <c r="T48" s="15" t="s">
        <v>56</v>
      </c>
      <c r="V48" s="49">
        <v>7.9</v>
      </c>
      <c r="W48" s="15" t="s">
        <v>56</v>
      </c>
    </row>
    <row r="49" spans="1:23">
      <c r="A49" s="35">
        <v>3</v>
      </c>
      <c r="B49" s="74">
        <v>4.8</v>
      </c>
      <c r="C49" s="35"/>
      <c r="D49" s="35">
        <v>6.9</v>
      </c>
      <c r="E49" s="35"/>
      <c r="F49" s="35">
        <v>7.8</v>
      </c>
      <c r="G49" s="35"/>
      <c r="H49" s="35">
        <v>5.7</v>
      </c>
      <c r="J49" s="35">
        <v>4.9000000000000004</v>
      </c>
      <c r="L49" s="35">
        <v>7.9</v>
      </c>
      <c r="N49" s="35">
        <v>4.0999999999999996</v>
      </c>
      <c r="P49" s="77">
        <v>4.13</v>
      </c>
      <c r="Q49" s="86">
        <v>4.0599999999999996</v>
      </c>
      <c r="S49" s="34">
        <v>4.21</v>
      </c>
      <c r="T49" s="15" t="s">
        <v>56</v>
      </c>
      <c r="V49" s="49">
        <v>7.23</v>
      </c>
      <c r="W49" s="15" t="s">
        <v>56</v>
      </c>
    </row>
    <row r="50" spans="1:23">
      <c r="A50" s="35">
        <v>4</v>
      </c>
      <c r="B50" s="74">
        <v>4.2</v>
      </c>
      <c r="C50" s="35"/>
      <c r="D50" s="35">
        <v>4.4000000000000004</v>
      </c>
      <c r="E50" s="35"/>
      <c r="F50" s="35">
        <v>7.6</v>
      </c>
      <c r="G50" s="35"/>
      <c r="H50" s="35">
        <v>6.6</v>
      </c>
      <c r="J50" s="35">
        <v>7.2</v>
      </c>
      <c r="L50" s="35">
        <v>7.7</v>
      </c>
      <c r="N50" s="35">
        <v>4.0999999999999996</v>
      </c>
      <c r="P50" s="77">
        <v>6.39</v>
      </c>
      <c r="S50" s="34">
        <v>4.29</v>
      </c>
      <c r="T50" s="15" t="s">
        <v>56</v>
      </c>
      <c r="V50" s="49">
        <v>8.67</v>
      </c>
      <c r="W50" s="15" t="s">
        <v>56</v>
      </c>
    </row>
    <row r="51" spans="1:23">
      <c r="A51" s="35">
        <v>5</v>
      </c>
      <c r="B51" s="74">
        <v>4.2</v>
      </c>
      <c r="C51" s="35"/>
      <c r="D51" s="35">
        <v>4.5</v>
      </c>
      <c r="E51" s="35"/>
      <c r="F51" s="35">
        <v>6.9</v>
      </c>
      <c r="G51" s="35"/>
      <c r="H51" s="35">
        <v>8.6</v>
      </c>
      <c r="J51" s="35">
        <v>4.7</v>
      </c>
      <c r="L51" s="35">
        <v>6.1</v>
      </c>
      <c r="N51" s="35">
        <v>4.0999999999999996</v>
      </c>
      <c r="P51" s="77">
        <v>4.33</v>
      </c>
      <c r="S51" s="34">
        <v>4.3099999999999996</v>
      </c>
      <c r="T51" s="15" t="s">
        <v>56</v>
      </c>
      <c r="V51" s="49">
        <v>5.73</v>
      </c>
      <c r="W51" s="15" t="s">
        <v>56</v>
      </c>
    </row>
    <row r="52" spans="1:23">
      <c r="A52" s="35">
        <v>6</v>
      </c>
      <c r="B52" s="74">
        <v>6.8</v>
      </c>
      <c r="C52" s="35"/>
      <c r="D52" s="35">
        <v>4.4000000000000004</v>
      </c>
      <c r="E52" s="35"/>
      <c r="F52" s="35">
        <v>9</v>
      </c>
      <c r="G52" s="35"/>
      <c r="H52" s="35">
        <v>12.3</v>
      </c>
      <c r="J52" s="35">
        <v>4.2</v>
      </c>
      <c r="L52" s="35">
        <v>10</v>
      </c>
      <c r="N52" s="35">
        <v>4.0999999999999996</v>
      </c>
      <c r="P52" s="77">
        <v>4.76</v>
      </c>
      <c r="S52" s="34">
        <v>4.0999999999999996</v>
      </c>
      <c r="T52" s="15" t="s">
        <v>56</v>
      </c>
      <c r="V52" s="56">
        <v>13.46</v>
      </c>
      <c r="W52" s="15" t="s">
        <v>58</v>
      </c>
    </row>
    <row r="53" spans="1:23">
      <c r="A53" s="35">
        <v>7</v>
      </c>
      <c r="B53" s="74">
        <v>4.2</v>
      </c>
      <c r="C53" s="35"/>
      <c r="D53" s="35">
        <v>4.4000000000000004</v>
      </c>
      <c r="E53" s="35"/>
      <c r="F53" s="35">
        <v>6</v>
      </c>
      <c r="G53" s="35"/>
      <c r="H53" s="35">
        <v>6.9</v>
      </c>
      <c r="J53" s="35">
        <v>4.2</v>
      </c>
      <c r="L53" s="35">
        <v>5.7</v>
      </c>
      <c r="N53" s="35">
        <v>4.0999999999999996</v>
      </c>
      <c r="P53" s="77">
        <v>4.53</v>
      </c>
      <c r="S53" s="34">
        <v>4.9000000000000004</v>
      </c>
      <c r="T53" s="15" t="s">
        <v>56</v>
      </c>
      <c r="V53" s="49">
        <v>4.68</v>
      </c>
      <c r="W53" s="15" t="s">
        <v>56</v>
      </c>
    </row>
    <row r="54" spans="1:23">
      <c r="A54" s="35">
        <v>8</v>
      </c>
      <c r="B54" s="74">
        <v>4.3</v>
      </c>
      <c r="C54" s="35"/>
      <c r="D54" s="35">
        <v>4.5999999999999996</v>
      </c>
      <c r="E54" s="35"/>
      <c r="F54" s="35">
        <v>8.9</v>
      </c>
      <c r="G54" s="35"/>
      <c r="H54" s="35">
        <v>7.1</v>
      </c>
      <c r="J54" s="35">
        <v>9.1999999999999993</v>
      </c>
      <c r="L54" s="35">
        <v>9.9</v>
      </c>
      <c r="N54" s="35">
        <v>4.7</v>
      </c>
      <c r="P54" s="77">
        <v>4.9000000000000004</v>
      </c>
      <c r="S54" s="34">
        <v>4.09</v>
      </c>
      <c r="T54" s="15" t="s">
        <v>56</v>
      </c>
      <c r="V54" s="49">
        <v>10.82</v>
      </c>
      <c r="W54" s="15" t="s">
        <v>56</v>
      </c>
    </row>
    <row r="55" spans="1:23">
      <c r="A55" s="35">
        <v>9</v>
      </c>
      <c r="B55" s="74">
        <v>5.2</v>
      </c>
      <c r="C55" s="35"/>
      <c r="D55" s="35">
        <v>4.0999999999999996</v>
      </c>
      <c r="E55" s="35"/>
      <c r="F55" s="35">
        <v>4.5</v>
      </c>
      <c r="G55" s="35"/>
      <c r="H55" s="35">
        <v>9.1999999999999993</v>
      </c>
      <c r="J55" s="35">
        <v>4.2</v>
      </c>
      <c r="L55" s="35">
        <v>6.5</v>
      </c>
      <c r="N55" s="35">
        <v>4</v>
      </c>
      <c r="P55" s="77">
        <v>4.1399999999999997</v>
      </c>
      <c r="S55" s="34">
        <v>4.53</v>
      </c>
      <c r="T55" s="15" t="s">
        <v>56</v>
      </c>
      <c r="V55" s="49">
        <v>7.21</v>
      </c>
      <c r="W55" s="15" t="s">
        <v>56</v>
      </c>
    </row>
    <row r="56" spans="1:23">
      <c r="A56" s="35">
        <v>10</v>
      </c>
      <c r="B56" s="74">
        <v>4.5999999999999996</v>
      </c>
      <c r="C56" s="35"/>
      <c r="D56" s="35">
        <v>4.2</v>
      </c>
      <c r="E56" s="35"/>
      <c r="F56" s="35">
        <v>4.4000000000000004</v>
      </c>
      <c r="G56" s="35"/>
      <c r="H56" s="35">
        <v>7.6</v>
      </c>
      <c r="I56" s="87"/>
      <c r="J56" s="35">
        <v>4.4000000000000004</v>
      </c>
      <c r="L56" s="35">
        <v>6.4</v>
      </c>
      <c r="N56" s="35">
        <v>4.2</v>
      </c>
      <c r="P56" s="77">
        <v>4.3600000000000003</v>
      </c>
      <c r="S56" s="34">
        <v>4.01</v>
      </c>
      <c r="T56" s="15" t="s">
        <v>56</v>
      </c>
      <c r="V56" s="49">
        <v>7.41</v>
      </c>
      <c r="W56" s="15" t="s">
        <v>56</v>
      </c>
    </row>
    <row r="57" spans="1:23">
      <c r="A57" s="35">
        <v>11</v>
      </c>
      <c r="B57" s="74">
        <v>4.9000000000000004</v>
      </c>
      <c r="C57" s="35"/>
      <c r="D57" s="35">
        <v>4.4000000000000004</v>
      </c>
      <c r="E57" s="35"/>
      <c r="F57" s="35">
        <v>5</v>
      </c>
      <c r="G57" s="35"/>
      <c r="H57" s="35">
        <v>26.2</v>
      </c>
      <c r="J57" s="35">
        <v>4.2</v>
      </c>
      <c r="L57" s="54">
        <v>23.5</v>
      </c>
      <c r="N57" s="35">
        <v>4.5</v>
      </c>
      <c r="P57" s="77">
        <v>4.6399999999999997</v>
      </c>
      <c r="S57" s="34">
        <v>4.09</v>
      </c>
      <c r="T57" s="15" t="s">
        <v>56</v>
      </c>
      <c r="V57" s="58">
        <v>23.16</v>
      </c>
      <c r="W57" s="15" t="s">
        <v>60</v>
      </c>
    </row>
    <row r="58" spans="1:23">
      <c r="A58" s="35">
        <v>12</v>
      </c>
      <c r="B58" s="74">
        <v>4.8</v>
      </c>
      <c r="C58" s="35"/>
      <c r="D58" s="35">
        <v>4.2</v>
      </c>
      <c r="E58" s="35"/>
      <c r="F58" s="35">
        <v>7.3</v>
      </c>
      <c r="G58" s="35"/>
      <c r="H58" s="35">
        <v>11.3</v>
      </c>
      <c r="J58" s="35">
        <v>4</v>
      </c>
      <c r="L58" s="35">
        <v>8.1</v>
      </c>
      <c r="N58" s="35">
        <v>4.0999999999999996</v>
      </c>
      <c r="P58" s="77">
        <v>4.21</v>
      </c>
      <c r="S58" s="34">
        <v>4.03</v>
      </c>
      <c r="T58" s="15" t="s">
        <v>56</v>
      </c>
      <c r="V58" s="49">
        <v>9.9499999999999993</v>
      </c>
      <c r="W58" s="15" t="s">
        <v>56</v>
      </c>
    </row>
    <row r="59" spans="1:23">
      <c r="A59" s="35">
        <v>13</v>
      </c>
      <c r="B59" s="74">
        <v>4.8</v>
      </c>
      <c r="C59" s="35"/>
      <c r="D59" s="35">
        <v>4.0999999999999996</v>
      </c>
      <c r="E59" s="35"/>
      <c r="F59" s="35">
        <v>4</v>
      </c>
      <c r="G59" s="35"/>
      <c r="H59" s="35">
        <v>7.3</v>
      </c>
      <c r="J59" s="35">
        <v>4.0999999999999996</v>
      </c>
      <c r="L59" s="35">
        <v>10.8</v>
      </c>
      <c r="N59" s="35">
        <v>4</v>
      </c>
      <c r="P59" s="77">
        <v>6.29</v>
      </c>
      <c r="S59" s="34">
        <v>4.2699999999999996</v>
      </c>
      <c r="T59" s="15" t="s">
        <v>56</v>
      </c>
      <c r="V59" s="56">
        <v>15.72</v>
      </c>
      <c r="W59" s="15" t="s">
        <v>107</v>
      </c>
    </row>
    <row r="60" spans="1:23">
      <c r="A60" s="35">
        <v>14</v>
      </c>
      <c r="B60" s="74">
        <v>4.8</v>
      </c>
      <c r="C60" s="35"/>
      <c r="D60" s="35">
        <v>4.0999999999999996</v>
      </c>
      <c r="E60" s="35"/>
      <c r="F60" s="35">
        <v>6.3</v>
      </c>
      <c r="G60" s="35"/>
      <c r="H60" s="35">
        <v>161.5</v>
      </c>
      <c r="J60" s="35">
        <v>4.2</v>
      </c>
      <c r="L60" s="35">
        <v>6.2</v>
      </c>
      <c r="N60" s="35">
        <v>4.8</v>
      </c>
      <c r="P60" s="77">
        <v>7.55</v>
      </c>
      <c r="S60" s="34">
        <v>8.9</v>
      </c>
      <c r="T60" s="15" t="s">
        <v>56</v>
      </c>
      <c r="V60" s="49">
        <v>10.54</v>
      </c>
      <c r="W60" s="15" t="s">
        <v>56</v>
      </c>
    </row>
    <row r="61" spans="1:23">
      <c r="A61" s="35">
        <v>15</v>
      </c>
      <c r="B61" s="74">
        <v>5.4</v>
      </c>
      <c r="C61" s="35"/>
      <c r="D61" s="35">
        <v>4.2</v>
      </c>
      <c r="E61" s="35"/>
      <c r="F61" s="35">
        <v>5.6</v>
      </c>
      <c r="G61" s="35"/>
      <c r="H61" s="35">
        <v>5.7</v>
      </c>
      <c r="J61" s="35">
        <v>4.2</v>
      </c>
      <c r="L61" s="35">
        <v>4.7</v>
      </c>
      <c r="N61" s="35">
        <v>4.2</v>
      </c>
      <c r="P61" s="77">
        <v>9</v>
      </c>
      <c r="S61" s="34">
        <v>4.32</v>
      </c>
      <c r="T61" s="15" t="s">
        <v>56</v>
      </c>
      <c r="V61" s="49">
        <v>7.16</v>
      </c>
      <c r="W61" s="15" t="s">
        <v>56</v>
      </c>
    </row>
    <row r="62" spans="1:23">
      <c r="A62" s="35">
        <v>16</v>
      </c>
      <c r="B62" s="74">
        <v>4.7</v>
      </c>
      <c r="C62" s="35"/>
      <c r="D62" s="35">
        <v>4</v>
      </c>
      <c r="E62" s="35"/>
      <c r="F62" s="35">
        <v>6.4</v>
      </c>
      <c r="G62" s="35"/>
      <c r="H62" s="35">
        <v>12.1</v>
      </c>
      <c r="J62" s="35">
        <v>3.9</v>
      </c>
      <c r="L62" s="35">
        <v>4</v>
      </c>
      <c r="N62" s="35">
        <v>4.5999999999999996</v>
      </c>
      <c r="P62" s="77">
        <v>11.4</v>
      </c>
      <c r="S62" s="34">
        <v>4.49</v>
      </c>
      <c r="T62" s="15" t="s">
        <v>56</v>
      </c>
      <c r="V62" s="49">
        <v>6.96</v>
      </c>
      <c r="W62" s="15" t="s">
        <v>56</v>
      </c>
    </row>
    <row r="63" spans="1:23">
      <c r="V63" s="49">
        <v>6.96</v>
      </c>
      <c r="W63" s="15" t="s">
        <v>56</v>
      </c>
    </row>
    <row r="64" spans="1:23">
      <c r="A64" s="15" t="s">
        <v>171</v>
      </c>
    </row>
    <row r="67" spans="1:5">
      <c r="A67" s="31">
        <v>44264</v>
      </c>
      <c r="B67" s="15" t="s">
        <v>101</v>
      </c>
      <c r="D67" s="15" t="s">
        <v>102</v>
      </c>
      <c r="E67" s="15" t="s">
        <v>103</v>
      </c>
    </row>
    <row r="68" spans="1:5">
      <c r="A68" s="49">
        <v>3.32</v>
      </c>
      <c r="B68" s="15" t="s">
        <v>56</v>
      </c>
      <c r="D68" s="49">
        <v>4.9000000000000004</v>
      </c>
      <c r="E68" s="15" t="s">
        <v>56</v>
      </c>
    </row>
    <row r="69" spans="1:5">
      <c r="A69" s="49">
        <v>3.16</v>
      </c>
      <c r="B69" s="15" t="s">
        <v>56</v>
      </c>
      <c r="D69" s="49">
        <v>4.8</v>
      </c>
      <c r="E69" s="15" t="s">
        <v>56</v>
      </c>
    </row>
    <row r="70" spans="1:5">
      <c r="A70" s="49">
        <v>3.2</v>
      </c>
      <c r="B70" s="15" t="s">
        <v>56</v>
      </c>
      <c r="D70" s="49">
        <v>5.2</v>
      </c>
      <c r="E70" s="15" t="s">
        <v>56</v>
      </c>
    </row>
    <row r="71" spans="1:5">
      <c r="A71" s="49">
        <v>3.18</v>
      </c>
      <c r="B71" s="15" t="s">
        <v>56</v>
      </c>
      <c r="D71" s="49">
        <v>4.0999999999999996</v>
      </c>
      <c r="E71" s="15" t="s">
        <v>56</v>
      </c>
    </row>
    <row r="72" spans="1:5">
      <c r="A72" s="49">
        <v>3.55</v>
      </c>
      <c r="B72" s="15" t="s">
        <v>56</v>
      </c>
      <c r="D72" s="49">
        <v>5.6</v>
      </c>
      <c r="E72" s="15" t="s">
        <v>56</v>
      </c>
    </row>
    <row r="73" spans="1:5">
      <c r="A73" s="49">
        <v>3.14</v>
      </c>
      <c r="B73" s="15" t="s">
        <v>56</v>
      </c>
      <c r="D73" s="49">
        <v>4.5999999999999996</v>
      </c>
      <c r="E73" s="15" t="s">
        <v>56</v>
      </c>
    </row>
    <row r="74" spans="1:5">
      <c r="A74" s="49">
        <v>3.35</v>
      </c>
      <c r="B74" s="15" t="s">
        <v>56</v>
      </c>
      <c r="D74" s="49">
        <v>5.0999999999999996</v>
      </c>
      <c r="E74" s="15" t="s">
        <v>56</v>
      </c>
    </row>
    <row r="75" spans="1:5">
      <c r="A75" s="49">
        <v>3.49</v>
      </c>
      <c r="B75" s="15" t="s">
        <v>56</v>
      </c>
      <c r="D75" s="49">
        <v>4</v>
      </c>
      <c r="E75" s="15" t="s">
        <v>56</v>
      </c>
    </row>
    <row r="76" spans="1:5">
      <c r="A76" s="49">
        <v>3.37</v>
      </c>
      <c r="B76" s="15" t="s">
        <v>56</v>
      </c>
      <c r="D76" s="49">
        <v>4.4000000000000004</v>
      </c>
      <c r="E76" s="15" t="s">
        <v>56</v>
      </c>
    </row>
    <row r="77" spans="1:5">
      <c r="A77" s="49">
        <v>3.24</v>
      </c>
      <c r="B77" s="15" t="s">
        <v>56</v>
      </c>
      <c r="D77" s="49">
        <v>4.5999999999999996</v>
      </c>
      <c r="E77" s="15" t="s">
        <v>56</v>
      </c>
    </row>
    <row r="78" spans="1:5">
      <c r="A78" s="49">
        <v>3.15</v>
      </c>
      <c r="B78" s="15" t="s">
        <v>56</v>
      </c>
      <c r="D78" s="49">
        <v>3.9</v>
      </c>
      <c r="E78" s="15" t="s">
        <v>56</v>
      </c>
    </row>
    <row r="79" spans="1:5">
      <c r="A79" s="49">
        <v>2.75</v>
      </c>
      <c r="B79" s="15" t="s">
        <v>56</v>
      </c>
      <c r="D79" s="49">
        <v>4.2</v>
      </c>
      <c r="E79" s="15" t="s">
        <v>56</v>
      </c>
    </row>
    <row r="80" spans="1:5">
      <c r="A80" s="49">
        <v>3.13</v>
      </c>
      <c r="B80" s="15" t="s">
        <v>56</v>
      </c>
      <c r="D80" s="49">
        <v>4.2</v>
      </c>
      <c r="E80" s="15" t="s">
        <v>56</v>
      </c>
    </row>
    <row r="81" spans="1:5">
      <c r="A81" s="49">
        <v>2.93</v>
      </c>
      <c r="B81" s="15" t="s">
        <v>56</v>
      </c>
      <c r="D81" s="49">
        <v>4.2</v>
      </c>
      <c r="E81" s="15" t="s">
        <v>56</v>
      </c>
    </row>
    <row r="82" spans="1:5">
      <c r="A82" s="49">
        <v>2.96</v>
      </c>
      <c r="B82" s="15" t="s">
        <v>56</v>
      </c>
      <c r="D82" s="49">
        <v>4.3</v>
      </c>
      <c r="E82" s="15" t="s">
        <v>56</v>
      </c>
    </row>
    <row r="83" spans="1:5">
      <c r="A83" s="49">
        <v>2.91</v>
      </c>
      <c r="B83" s="15" t="s">
        <v>56</v>
      </c>
      <c r="D83" s="49">
        <v>4.4000000000000004</v>
      </c>
      <c r="E83" s="15" t="s">
        <v>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Z196"/>
  <sheetViews>
    <sheetView workbookViewId="0"/>
  </sheetViews>
  <sheetFormatPr defaultColWidth="14.42578125" defaultRowHeight="15" customHeight="1"/>
  <cols>
    <col min="3" max="3" width="22.42578125" customWidth="1"/>
    <col min="5" max="5" width="22.140625" customWidth="1"/>
    <col min="7" max="7" width="23.140625" customWidth="1"/>
    <col min="10" max="10" width="25.42578125" customWidth="1"/>
    <col min="12" max="12" width="28.42578125" customWidth="1"/>
    <col min="14" max="14" width="25.42578125" customWidth="1"/>
    <col min="16" max="16" width="24.140625" customWidth="1"/>
    <col min="18" max="18" width="23" customWidth="1"/>
    <col min="20" max="20" width="27" customWidth="1"/>
    <col min="21" max="21" width="25.85546875" customWidth="1"/>
    <col min="22" max="22" width="24.28515625" customWidth="1"/>
    <col min="24" max="24" width="26.140625" customWidth="1"/>
    <col min="26" max="26" width="26.85546875" customWidth="1"/>
  </cols>
  <sheetData>
    <row r="1" spans="1:26">
      <c r="A1" s="15" t="s">
        <v>44</v>
      </c>
    </row>
    <row r="2" spans="1:26">
      <c r="A2" s="75" t="s">
        <v>172</v>
      </c>
      <c r="B2" s="15" t="s">
        <v>167</v>
      </c>
    </row>
    <row r="3" spans="1:26">
      <c r="A3" s="75" t="s">
        <v>173</v>
      </c>
      <c r="B3" s="15" t="s">
        <v>174</v>
      </c>
    </row>
    <row r="4" spans="1:26">
      <c r="A4" s="75" t="s">
        <v>129</v>
      </c>
      <c r="B4" s="73">
        <v>43468</v>
      </c>
      <c r="C4" s="15" t="s">
        <v>160</v>
      </c>
      <c r="D4" s="15" t="s">
        <v>161</v>
      </c>
      <c r="E4" s="15" t="s">
        <v>162</v>
      </c>
      <c r="F4" s="15" t="s">
        <v>163</v>
      </c>
      <c r="G4" s="15" t="s">
        <v>164</v>
      </c>
      <c r="I4" s="15" t="s">
        <v>90</v>
      </c>
      <c r="J4" s="15" t="s">
        <v>91</v>
      </c>
      <c r="K4" s="15" t="s">
        <v>6</v>
      </c>
      <c r="L4" s="15" t="s">
        <v>92</v>
      </c>
      <c r="M4" s="15" t="s">
        <v>7</v>
      </c>
      <c r="N4" s="15" t="s">
        <v>93</v>
      </c>
      <c r="O4" s="31">
        <v>43508</v>
      </c>
      <c r="P4" s="15" t="s">
        <v>175</v>
      </c>
      <c r="Q4" s="31">
        <v>44075</v>
      </c>
      <c r="R4" s="15" t="s">
        <v>95</v>
      </c>
      <c r="S4" s="31">
        <v>44055</v>
      </c>
      <c r="T4" s="15" t="s">
        <v>176</v>
      </c>
      <c r="U4" s="15" t="s">
        <v>119</v>
      </c>
      <c r="V4" s="15" t="s">
        <v>120</v>
      </c>
      <c r="W4" s="31">
        <v>44442</v>
      </c>
      <c r="X4" s="15" t="s">
        <v>101</v>
      </c>
      <c r="Y4" s="15" t="s">
        <v>102</v>
      </c>
      <c r="Z4" s="15" t="s">
        <v>103</v>
      </c>
    </row>
    <row r="5" spans="1:26">
      <c r="A5" s="35">
        <v>1</v>
      </c>
      <c r="B5" s="74">
        <v>6.3</v>
      </c>
      <c r="C5" s="85" t="s">
        <v>56</v>
      </c>
      <c r="D5" s="35">
        <v>4.7</v>
      </c>
      <c r="E5" s="75" t="s">
        <v>56</v>
      </c>
      <c r="F5" s="35">
        <v>5.8</v>
      </c>
      <c r="G5" s="15" t="s">
        <v>56</v>
      </c>
      <c r="I5" s="35">
        <v>9.3000000000000007</v>
      </c>
      <c r="J5" s="15" t="s">
        <v>56</v>
      </c>
      <c r="K5" s="35">
        <v>5.8</v>
      </c>
      <c r="L5" s="15" t="s">
        <v>56</v>
      </c>
      <c r="M5" s="35">
        <v>7.6</v>
      </c>
      <c r="N5" s="15" t="s">
        <v>56</v>
      </c>
      <c r="O5" s="35">
        <v>6.3</v>
      </c>
      <c r="P5" s="15" t="s">
        <v>56</v>
      </c>
      <c r="Q5" s="77">
        <v>5.22</v>
      </c>
      <c r="R5" s="15" t="s">
        <v>56</v>
      </c>
      <c r="S5" s="49">
        <v>7.88</v>
      </c>
      <c r="T5" s="15" t="s">
        <v>56</v>
      </c>
      <c r="U5" s="34">
        <v>7.59</v>
      </c>
      <c r="V5" s="15" t="s">
        <v>56</v>
      </c>
      <c r="W5" s="49">
        <v>8.5500000000000007</v>
      </c>
      <c r="X5" s="15" t="s">
        <v>56</v>
      </c>
      <c r="Y5" s="49">
        <v>6.1</v>
      </c>
      <c r="Z5" s="15" t="s">
        <v>56</v>
      </c>
    </row>
    <row r="6" spans="1:26">
      <c r="A6" s="35">
        <v>2</v>
      </c>
      <c r="B6" s="74">
        <v>6.4</v>
      </c>
      <c r="C6" s="85" t="s">
        <v>56</v>
      </c>
      <c r="D6" s="35">
        <v>4.9000000000000004</v>
      </c>
      <c r="E6" s="75" t="s">
        <v>56</v>
      </c>
      <c r="F6" s="35">
        <v>6.1</v>
      </c>
      <c r="G6" s="15" t="s">
        <v>56</v>
      </c>
      <c r="I6" s="35">
        <v>9.8000000000000007</v>
      </c>
      <c r="J6" s="15" t="s">
        <v>56</v>
      </c>
      <c r="K6" s="35">
        <v>7.1</v>
      </c>
      <c r="L6" s="15" t="s">
        <v>56</v>
      </c>
      <c r="M6" s="35">
        <v>7.5</v>
      </c>
      <c r="N6" s="15" t="s">
        <v>56</v>
      </c>
      <c r="O6" s="35">
        <v>8.3000000000000007</v>
      </c>
      <c r="P6" s="15" t="s">
        <v>56</v>
      </c>
      <c r="Q6" s="77">
        <v>5.45</v>
      </c>
      <c r="R6" s="15" t="s">
        <v>56</v>
      </c>
      <c r="S6" s="49">
        <v>8.85</v>
      </c>
      <c r="T6" s="15" t="s">
        <v>56</v>
      </c>
      <c r="U6" s="34">
        <v>6.67</v>
      </c>
      <c r="V6" s="15" t="s">
        <v>56</v>
      </c>
      <c r="W6" s="56">
        <v>12.04</v>
      </c>
      <c r="X6" s="15" t="s">
        <v>58</v>
      </c>
      <c r="Y6" s="49">
        <v>7.1</v>
      </c>
      <c r="Z6" s="15" t="s">
        <v>56</v>
      </c>
    </row>
    <row r="7" spans="1:26">
      <c r="A7" s="35">
        <v>3</v>
      </c>
      <c r="B7" s="74">
        <v>6.5</v>
      </c>
      <c r="C7" s="85" t="s">
        <v>56</v>
      </c>
      <c r="D7" s="35">
        <v>5.4</v>
      </c>
      <c r="E7" s="75" t="s">
        <v>56</v>
      </c>
      <c r="F7" s="35">
        <v>5</v>
      </c>
      <c r="G7" s="15" t="s">
        <v>56</v>
      </c>
      <c r="I7" s="45">
        <v>20.8</v>
      </c>
      <c r="J7" s="15" t="s">
        <v>60</v>
      </c>
      <c r="K7" s="35">
        <v>5.7</v>
      </c>
      <c r="L7" s="15" t="s">
        <v>56</v>
      </c>
      <c r="M7" s="35">
        <v>6.9</v>
      </c>
      <c r="N7" s="15" t="s">
        <v>56</v>
      </c>
      <c r="O7" s="35">
        <v>5.6</v>
      </c>
      <c r="P7" s="15" t="s">
        <v>56</v>
      </c>
      <c r="Q7" s="77">
        <v>5.86</v>
      </c>
      <c r="R7" s="15" t="s">
        <v>56</v>
      </c>
      <c r="S7" s="49">
        <v>6.7</v>
      </c>
      <c r="T7" s="15" t="s">
        <v>56</v>
      </c>
      <c r="U7" s="34">
        <v>7.45</v>
      </c>
      <c r="V7" s="15" t="s">
        <v>56</v>
      </c>
      <c r="W7" s="56">
        <v>13.87</v>
      </c>
      <c r="X7" s="15" t="s">
        <v>58</v>
      </c>
      <c r="Y7" s="49">
        <v>6.9</v>
      </c>
      <c r="Z7" s="15" t="s">
        <v>56</v>
      </c>
    </row>
    <row r="8" spans="1:26">
      <c r="A8" s="35">
        <v>4</v>
      </c>
      <c r="B8" s="74">
        <v>7.5</v>
      </c>
      <c r="C8" s="85" t="s">
        <v>56</v>
      </c>
      <c r="D8" s="35">
        <v>6.2</v>
      </c>
      <c r="E8" s="75" t="s">
        <v>56</v>
      </c>
      <c r="F8" s="35">
        <v>5</v>
      </c>
      <c r="G8" s="15" t="s">
        <v>56</v>
      </c>
      <c r="I8" s="35">
        <v>9.1999999999999993</v>
      </c>
      <c r="J8" s="15" t="s">
        <v>56</v>
      </c>
      <c r="K8" s="35">
        <v>4.9000000000000004</v>
      </c>
      <c r="L8" s="15" t="s">
        <v>56</v>
      </c>
      <c r="M8" s="35">
        <v>5.2</v>
      </c>
      <c r="N8" s="15" t="s">
        <v>56</v>
      </c>
      <c r="O8" s="35">
        <v>5.5</v>
      </c>
      <c r="P8" s="15" t="s">
        <v>56</v>
      </c>
      <c r="Q8" s="77">
        <v>5.61</v>
      </c>
      <c r="R8" s="15" t="s">
        <v>56</v>
      </c>
      <c r="S8" s="49">
        <v>6.31</v>
      </c>
      <c r="T8" s="15" t="s">
        <v>56</v>
      </c>
      <c r="U8" s="34">
        <v>6.46</v>
      </c>
      <c r="V8" s="15" t="s">
        <v>56</v>
      </c>
      <c r="W8" s="49">
        <v>9.66</v>
      </c>
      <c r="X8" s="15" t="s">
        <v>56</v>
      </c>
      <c r="Y8" s="49">
        <v>9.1</v>
      </c>
      <c r="Z8" s="15" t="s">
        <v>56</v>
      </c>
    </row>
    <row r="9" spans="1:26">
      <c r="A9" s="35">
        <v>5</v>
      </c>
      <c r="B9" s="74">
        <v>8</v>
      </c>
      <c r="C9" s="85" t="s">
        <v>56</v>
      </c>
      <c r="D9" s="35">
        <v>5.7</v>
      </c>
      <c r="E9" s="75" t="s">
        <v>56</v>
      </c>
      <c r="F9" s="35">
        <v>4.7</v>
      </c>
      <c r="G9" s="15" t="s">
        <v>56</v>
      </c>
      <c r="I9" s="35">
        <v>11.9</v>
      </c>
      <c r="J9" s="15" t="s">
        <v>56</v>
      </c>
      <c r="K9" s="35">
        <v>4.5999999999999996</v>
      </c>
      <c r="L9" s="15" t="s">
        <v>56</v>
      </c>
      <c r="M9" s="35">
        <v>6.2</v>
      </c>
      <c r="N9" s="15" t="s">
        <v>56</v>
      </c>
      <c r="O9" s="35">
        <v>4.9000000000000004</v>
      </c>
      <c r="P9" s="15" t="s">
        <v>56</v>
      </c>
      <c r="Q9" s="77">
        <v>6.2</v>
      </c>
      <c r="R9" s="15" t="s">
        <v>56</v>
      </c>
      <c r="S9" s="49">
        <v>5.9</v>
      </c>
      <c r="T9" s="15" t="s">
        <v>56</v>
      </c>
      <c r="U9" s="34">
        <v>5.92</v>
      </c>
      <c r="V9" s="15" t="s">
        <v>56</v>
      </c>
      <c r="W9" s="49">
        <v>10.88</v>
      </c>
      <c r="X9" s="15" t="s">
        <v>56</v>
      </c>
      <c r="Y9" s="49">
        <v>8.4</v>
      </c>
      <c r="Z9" s="15" t="s">
        <v>56</v>
      </c>
    </row>
    <row r="10" spans="1:26">
      <c r="A10" s="35">
        <v>6</v>
      </c>
      <c r="B10" s="74">
        <v>5.2</v>
      </c>
      <c r="C10" s="85" t="s">
        <v>56</v>
      </c>
      <c r="D10" s="35">
        <v>5.2</v>
      </c>
      <c r="E10" s="75" t="s">
        <v>56</v>
      </c>
      <c r="F10" s="35">
        <v>5.7</v>
      </c>
      <c r="G10" s="15" t="s">
        <v>56</v>
      </c>
      <c r="I10" s="35">
        <v>11.1</v>
      </c>
      <c r="J10" s="15" t="s">
        <v>56</v>
      </c>
      <c r="K10" s="35">
        <v>5.5</v>
      </c>
      <c r="L10" s="15" t="s">
        <v>56</v>
      </c>
      <c r="M10" s="35">
        <v>5.6</v>
      </c>
      <c r="N10" s="15" t="s">
        <v>56</v>
      </c>
      <c r="O10" s="35">
        <v>5.6</v>
      </c>
      <c r="P10" s="15" t="s">
        <v>56</v>
      </c>
      <c r="Q10" s="77">
        <v>5.84</v>
      </c>
      <c r="R10" s="15" t="s">
        <v>56</v>
      </c>
      <c r="S10" s="49">
        <v>6.39</v>
      </c>
      <c r="T10" s="15" t="s">
        <v>56</v>
      </c>
      <c r="U10" s="34">
        <v>6.52</v>
      </c>
      <c r="V10" s="15" t="s">
        <v>56</v>
      </c>
      <c r="W10" s="49">
        <v>10.33</v>
      </c>
      <c r="X10" s="15" t="s">
        <v>56</v>
      </c>
      <c r="Y10" s="49">
        <v>6.9</v>
      </c>
      <c r="Z10" s="15" t="s">
        <v>56</v>
      </c>
    </row>
    <row r="11" spans="1:26">
      <c r="A11" s="35">
        <v>7</v>
      </c>
      <c r="B11" s="74">
        <v>6.1</v>
      </c>
      <c r="C11" s="85" t="s">
        <v>56</v>
      </c>
      <c r="D11" s="35">
        <v>5.2</v>
      </c>
      <c r="E11" s="75" t="s">
        <v>56</v>
      </c>
      <c r="F11" s="45">
        <v>116.9</v>
      </c>
      <c r="G11" s="15" t="s">
        <v>60</v>
      </c>
      <c r="I11" s="35">
        <v>13</v>
      </c>
      <c r="J11" s="15" t="s">
        <v>56</v>
      </c>
      <c r="K11" s="45">
        <v>179.7</v>
      </c>
      <c r="L11" s="15" t="s">
        <v>60</v>
      </c>
      <c r="M11" s="45">
        <v>9999</v>
      </c>
      <c r="N11" s="15" t="s">
        <v>60</v>
      </c>
      <c r="O11" s="45">
        <v>9999</v>
      </c>
      <c r="P11" s="15" t="s">
        <v>60</v>
      </c>
      <c r="Q11" s="77">
        <v>6.89</v>
      </c>
      <c r="R11" s="15" t="s">
        <v>56</v>
      </c>
      <c r="S11" s="58">
        <v>9999</v>
      </c>
      <c r="T11" s="15" t="s">
        <v>60</v>
      </c>
      <c r="U11" s="53">
        <v>9999</v>
      </c>
      <c r="V11" s="15" t="s">
        <v>60</v>
      </c>
      <c r="W11" s="49">
        <v>9.7100000000000009</v>
      </c>
      <c r="X11" s="15" t="s">
        <v>56</v>
      </c>
      <c r="Y11" s="49">
        <v>7.8</v>
      </c>
      <c r="Z11" s="15" t="s">
        <v>56</v>
      </c>
    </row>
    <row r="12" spans="1:26">
      <c r="A12" s="35">
        <v>8</v>
      </c>
      <c r="B12" s="74">
        <v>6.1</v>
      </c>
      <c r="C12" s="85" t="s">
        <v>56</v>
      </c>
      <c r="D12" s="35">
        <v>6.5</v>
      </c>
      <c r="E12" s="75" t="s">
        <v>56</v>
      </c>
      <c r="F12" s="35">
        <v>7.1</v>
      </c>
      <c r="G12" s="15" t="s">
        <v>56</v>
      </c>
      <c r="I12" s="35">
        <v>9.4</v>
      </c>
      <c r="J12" s="15" t="s">
        <v>56</v>
      </c>
      <c r="K12" s="35">
        <v>6.9</v>
      </c>
      <c r="L12" s="15" t="s">
        <v>56</v>
      </c>
      <c r="M12" s="35">
        <v>6.7</v>
      </c>
      <c r="N12" s="15" t="s">
        <v>56</v>
      </c>
      <c r="O12" s="45">
        <v>9999</v>
      </c>
      <c r="P12" s="15" t="s">
        <v>60</v>
      </c>
      <c r="Q12" s="77">
        <v>5.39</v>
      </c>
      <c r="R12" s="15" t="s">
        <v>56</v>
      </c>
      <c r="S12" s="49">
        <v>8</v>
      </c>
      <c r="T12" s="15" t="s">
        <v>56</v>
      </c>
      <c r="U12" s="34">
        <v>6.06</v>
      </c>
      <c r="V12" s="15" t="s">
        <v>56</v>
      </c>
      <c r="W12" s="49">
        <v>10.5</v>
      </c>
      <c r="X12" s="15" t="s">
        <v>56</v>
      </c>
      <c r="Y12" s="49">
        <v>6.5</v>
      </c>
      <c r="Z12" s="15" t="s">
        <v>56</v>
      </c>
    </row>
    <row r="13" spans="1:26">
      <c r="A13" s="35">
        <v>9</v>
      </c>
      <c r="B13" s="74">
        <v>5.5</v>
      </c>
      <c r="C13" s="85" t="s">
        <v>56</v>
      </c>
      <c r="D13" s="35">
        <v>6.5</v>
      </c>
      <c r="E13" s="75" t="s">
        <v>56</v>
      </c>
      <c r="F13" s="35">
        <v>5.7</v>
      </c>
      <c r="G13" s="15" t="s">
        <v>56</v>
      </c>
      <c r="I13" s="35">
        <v>10.5</v>
      </c>
      <c r="J13" s="15" t="s">
        <v>56</v>
      </c>
      <c r="K13" s="35">
        <v>6.6</v>
      </c>
      <c r="L13" s="15" t="s">
        <v>56</v>
      </c>
      <c r="M13" s="35">
        <v>7.7</v>
      </c>
      <c r="N13" s="15" t="s">
        <v>56</v>
      </c>
      <c r="O13" s="35">
        <v>4.9000000000000004</v>
      </c>
      <c r="P13" s="15" t="s">
        <v>56</v>
      </c>
      <c r="Q13" s="88">
        <v>9999</v>
      </c>
      <c r="R13" s="15" t="s">
        <v>60</v>
      </c>
      <c r="S13" s="49">
        <v>7.2</v>
      </c>
      <c r="T13" s="15" t="s">
        <v>56</v>
      </c>
      <c r="U13" s="34">
        <v>7.2</v>
      </c>
      <c r="V13" s="15" t="s">
        <v>56</v>
      </c>
      <c r="W13" s="49">
        <v>8.93</v>
      </c>
      <c r="X13" s="15" t="s">
        <v>56</v>
      </c>
      <c r="Y13" s="58">
        <v>9999</v>
      </c>
      <c r="Z13" s="15" t="s">
        <v>60</v>
      </c>
    </row>
    <row r="14" spans="1:26">
      <c r="A14" s="35">
        <v>10</v>
      </c>
      <c r="B14" s="74">
        <v>5</v>
      </c>
      <c r="C14" s="85" t="s">
        <v>56</v>
      </c>
      <c r="D14" s="35">
        <v>5.2</v>
      </c>
      <c r="E14" s="75" t="s">
        <v>56</v>
      </c>
      <c r="F14" s="35">
        <v>5.3</v>
      </c>
      <c r="G14" s="15" t="s">
        <v>56</v>
      </c>
      <c r="I14" s="35">
        <v>10.8</v>
      </c>
      <c r="J14" s="15" t="s">
        <v>56</v>
      </c>
      <c r="K14" s="35">
        <v>5.0999999999999996</v>
      </c>
      <c r="L14" s="15" t="s">
        <v>56</v>
      </c>
      <c r="M14" s="35">
        <v>6</v>
      </c>
      <c r="N14" s="15" t="s">
        <v>56</v>
      </c>
      <c r="O14" s="35">
        <v>5.7</v>
      </c>
      <c r="P14" s="15" t="s">
        <v>56</v>
      </c>
      <c r="Q14" s="77">
        <v>5.99</v>
      </c>
      <c r="R14" s="15" t="s">
        <v>56</v>
      </c>
      <c r="S14" s="49">
        <v>6.25</v>
      </c>
      <c r="T14" s="15" t="s">
        <v>56</v>
      </c>
      <c r="U14" s="34">
        <v>6.28</v>
      </c>
      <c r="V14" s="15" t="s">
        <v>56</v>
      </c>
      <c r="W14" s="49">
        <v>9.4600000000000009</v>
      </c>
      <c r="X14" s="15" t="s">
        <v>56</v>
      </c>
      <c r="Y14" s="49">
        <v>6</v>
      </c>
      <c r="Z14" s="15" t="s">
        <v>56</v>
      </c>
    </row>
    <row r="15" spans="1:26">
      <c r="A15" s="35">
        <v>11</v>
      </c>
      <c r="B15" s="74">
        <v>5.2</v>
      </c>
      <c r="C15" s="85" t="s">
        <v>56</v>
      </c>
      <c r="D15" s="35">
        <v>6.8</v>
      </c>
      <c r="E15" s="75" t="s">
        <v>56</v>
      </c>
      <c r="F15" s="35">
        <v>6.1</v>
      </c>
      <c r="G15" s="15" t="s">
        <v>56</v>
      </c>
      <c r="I15" s="54">
        <v>12.7</v>
      </c>
      <c r="J15" s="15" t="s">
        <v>107</v>
      </c>
      <c r="K15" s="35">
        <v>6.2</v>
      </c>
      <c r="L15" s="15" t="s">
        <v>56</v>
      </c>
      <c r="M15" s="35">
        <v>6.2</v>
      </c>
      <c r="N15" s="15" t="s">
        <v>56</v>
      </c>
      <c r="O15" s="35">
        <v>5.2</v>
      </c>
      <c r="P15" s="15" t="s">
        <v>56</v>
      </c>
      <c r="Q15" s="77">
        <v>5.86</v>
      </c>
      <c r="R15" s="15" t="s">
        <v>56</v>
      </c>
      <c r="S15" s="49">
        <v>6.82</v>
      </c>
      <c r="T15" s="15" t="s">
        <v>56</v>
      </c>
      <c r="U15" s="34">
        <v>9.83</v>
      </c>
      <c r="V15" s="15" t="s">
        <v>56</v>
      </c>
      <c r="W15" s="56">
        <v>12.18</v>
      </c>
      <c r="X15" s="15" t="s">
        <v>58</v>
      </c>
      <c r="Y15" s="49">
        <v>7.5</v>
      </c>
      <c r="Z15" s="15" t="s">
        <v>56</v>
      </c>
    </row>
    <row r="16" spans="1:26">
      <c r="A16" s="35">
        <v>12</v>
      </c>
      <c r="B16" s="74">
        <v>6.5</v>
      </c>
      <c r="C16" s="85" t="s">
        <v>56</v>
      </c>
      <c r="D16" s="35">
        <v>5.4</v>
      </c>
      <c r="E16" s="75" t="s">
        <v>56</v>
      </c>
      <c r="F16" s="35">
        <v>5.6</v>
      </c>
      <c r="G16" s="15" t="s">
        <v>56</v>
      </c>
      <c r="I16" s="35">
        <v>11.1</v>
      </c>
      <c r="J16" s="15" t="s">
        <v>56</v>
      </c>
      <c r="K16" s="35">
        <v>5.5</v>
      </c>
      <c r="L16" s="15" t="s">
        <v>56</v>
      </c>
      <c r="M16" s="35">
        <v>5.6</v>
      </c>
      <c r="N16" s="15" t="s">
        <v>56</v>
      </c>
      <c r="O16" s="35">
        <v>8.1</v>
      </c>
      <c r="P16" s="15" t="s">
        <v>56</v>
      </c>
      <c r="Q16" s="77">
        <v>7.33</v>
      </c>
      <c r="R16" s="15" t="s">
        <v>56</v>
      </c>
      <c r="S16" s="49">
        <v>8.24</v>
      </c>
      <c r="T16" s="15" t="s">
        <v>56</v>
      </c>
      <c r="U16" s="34">
        <v>6.98</v>
      </c>
      <c r="V16" s="15" t="s">
        <v>56</v>
      </c>
      <c r="W16" s="49">
        <v>11.51</v>
      </c>
      <c r="X16" s="15" t="s">
        <v>56</v>
      </c>
      <c r="Y16" s="49">
        <v>8.5</v>
      </c>
      <c r="Z16" s="15" t="s">
        <v>56</v>
      </c>
    </row>
    <row r="17" spans="1:26">
      <c r="A17" s="35">
        <v>13</v>
      </c>
      <c r="B17" s="74">
        <v>6</v>
      </c>
      <c r="C17" s="85" t="s">
        <v>56</v>
      </c>
      <c r="D17" s="35">
        <v>5.8</v>
      </c>
      <c r="E17" s="75" t="s">
        <v>56</v>
      </c>
      <c r="F17" s="35">
        <v>6.2</v>
      </c>
      <c r="G17" s="15" t="s">
        <v>56</v>
      </c>
      <c r="I17" s="54">
        <v>15.6</v>
      </c>
      <c r="J17" s="15" t="s">
        <v>58</v>
      </c>
      <c r="K17" s="35">
        <v>6.4</v>
      </c>
      <c r="L17" s="15" t="s">
        <v>56</v>
      </c>
      <c r="M17" s="35">
        <v>6.5</v>
      </c>
      <c r="N17" s="15" t="s">
        <v>56</v>
      </c>
      <c r="O17" s="35">
        <v>5.8</v>
      </c>
      <c r="P17" s="15" t="s">
        <v>56</v>
      </c>
      <c r="Q17" s="77">
        <v>6.69</v>
      </c>
      <c r="R17" s="15" t="s">
        <v>56</v>
      </c>
      <c r="S17" s="49">
        <v>8</v>
      </c>
      <c r="T17" s="15" t="s">
        <v>56</v>
      </c>
      <c r="U17" s="34">
        <v>7.41</v>
      </c>
      <c r="V17" s="15" t="s">
        <v>56</v>
      </c>
      <c r="W17" s="49">
        <v>9.5500000000000007</v>
      </c>
      <c r="X17" s="15" t="s">
        <v>56</v>
      </c>
      <c r="Y17" s="49">
        <v>8.6999999999999993</v>
      </c>
      <c r="Z17" s="15" t="s">
        <v>56</v>
      </c>
    </row>
    <row r="18" spans="1:26">
      <c r="A18" s="35">
        <v>14</v>
      </c>
      <c r="B18" s="74">
        <v>5.4</v>
      </c>
      <c r="C18" s="85" t="s">
        <v>56</v>
      </c>
      <c r="D18" s="35">
        <v>6.5</v>
      </c>
      <c r="E18" s="75" t="s">
        <v>56</v>
      </c>
      <c r="F18" s="35">
        <v>6.4</v>
      </c>
      <c r="G18" s="15" t="s">
        <v>56</v>
      </c>
      <c r="I18" s="35">
        <v>10.9</v>
      </c>
      <c r="J18" s="15" t="s">
        <v>56</v>
      </c>
      <c r="K18" s="35">
        <v>6.8</v>
      </c>
      <c r="L18" s="15" t="s">
        <v>56</v>
      </c>
      <c r="M18" s="35">
        <v>6.8</v>
      </c>
      <c r="N18" s="15" t="s">
        <v>56</v>
      </c>
      <c r="O18" s="35">
        <v>6.4</v>
      </c>
      <c r="P18" s="15" t="s">
        <v>56</v>
      </c>
      <c r="Q18" s="77">
        <v>6.16</v>
      </c>
      <c r="R18" s="15" t="s">
        <v>56</v>
      </c>
      <c r="S18" s="49">
        <v>6.76</v>
      </c>
      <c r="T18" s="15" t="s">
        <v>56</v>
      </c>
      <c r="U18" s="34">
        <v>8.58</v>
      </c>
      <c r="V18" s="15" t="s">
        <v>56</v>
      </c>
      <c r="W18" s="49">
        <v>11.61</v>
      </c>
      <c r="X18" s="15" t="s">
        <v>56</v>
      </c>
      <c r="Y18" s="49">
        <v>7.6</v>
      </c>
      <c r="Z18" s="15" t="s">
        <v>56</v>
      </c>
    </row>
    <row r="19" spans="1:26">
      <c r="A19" s="35">
        <v>15</v>
      </c>
      <c r="B19" s="74">
        <v>6.5</v>
      </c>
      <c r="C19" s="85" t="s">
        <v>56</v>
      </c>
      <c r="D19" s="35">
        <v>5.4</v>
      </c>
      <c r="E19" s="75" t="s">
        <v>56</v>
      </c>
      <c r="F19" s="35">
        <v>5.5</v>
      </c>
      <c r="G19" s="15" t="s">
        <v>56</v>
      </c>
      <c r="I19" s="35">
        <v>11.2</v>
      </c>
      <c r="J19" s="15" t="s">
        <v>56</v>
      </c>
      <c r="K19" s="35">
        <v>5.4</v>
      </c>
      <c r="L19" s="15" t="s">
        <v>56</v>
      </c>
      <c r="M19" s="35">
        <v>5.5</v>
      </c>
      <c r="N19" s="15" t="s">
        <v>56</v>
      </c>
      <c r="O19" s="35">
        <v>6.9</v>
      </c>
      <c r="P19" s="15" t="s">
        <v>56</v>
      </c>
      <c r="Q19" s="77">
        <v>6.52</v>
      </c>
      <c r="R19" s="15" t="s">
        <v>56</v>
      </c>
      <c r="S19" s="49">
        <v>9.14</v>
      </c>
      <c r="T19" s="15" t="s">
        <v>56</v>
      </c>
      <c r="U19" s="34">
        <v>7.06</v>
      </c>
      <c r="V19" s="15" t="s">
        <v>56</v>
      </c>
      <c r="W19" s="49">
        <v>8.58</v>
      </c>
      <c r="X19" s="15" t="s">
        <v>56</v>
      </c>
      <c r="Y19" s="49">
        <v>9.1</v>
      </c>
      <c r="Z19" s="15" t="s">
        <v>56</v>
      </c>
    </row>
    <row r="20" spans="1:26">
      <c r="I20" s="83">
        <v>9.6999999999999993</v>
      </c>
      <c r="O20" s="35">
        <v>5.5</v>
      </c>
      <c r="P20" s="15" t="s">
        <v>56</v>
      </c>
    </row>
    <row r="21" spans="1:26">
      <c r="A21" s="15" t="s">
        <v>45</v>
      </c>
      <c r="I21" s="83">
        <v>8.8000000000000007</v>
      </c>
    </row>
    <row r="22" spans="1:26">
      <c r="A22" s="75" t="s">
        <v>172</v>
      </c>
      <c r="B22" s="15" t="s">
        <v>177</v>
      </c>
      <c r="I22" s="83">
        <v>9.3000000000000007</v>
      </c>
    </row>
    <row r="23" spans="1:26">
      <c r="A23" s="75" t="s">
        <v>173</v>
      </c>
      <c r="B23" s="15" t="s">
        <v>174</v>
      </c>
      <c r="I23" s="83">
        <v>9.4</v>
      </c>
    </row>
    <row r="24" spans="1:26">
      <c r="A24" s="75" t="s">
        <v>129</v>
      </c>
      <c r="B24" s="73">
        <v>43468</v>
      </c>
      <c r="C24" s="15" t="s">
        <v>160</v>
      </c>
      <c r="D24" s="15" t="s">
        <v>161</v>
      </c>
      <c r="E24" s="15" t="s">
        <v>162</v>
      </c>
      <c r="F24" s="15" t="s">
        <v>163</v>
      </c>
      <c r="G24" s="15" t="s">
        <v>164</v>
      </c>
      <c r="H24" s="15" t="s">
        <v>90</v>
      </c>
      <c r="I24" s="83">
        <v>9.5</v>
      </c>
      <c r="J24" s="15" t="s">
        <v>91</v>
      </c>
      <c r="K24" s="15" t="s">
        <v>6</v>
      </c>
      <c r="L24" s="15" t="s">
        <v>92</v>
      </c>
      <c r="M24" s="15" t="s">
        <v>7</v>
      </c>
      <c r="N24" s="15" t="s">
        <v>93</v>
      </c>
      <c r="O24" s="15" t="s">
        <v>148</v>
      </c>
      <c r="P24" s="15" t="s">
        <v>149</v>
      </c>
      <c r="Q24" s="31">
        <v>44075</v>
      </c>
      <c r="R24" s="15" t="s">
        <v>95</v>
      </c>
      <c r="S24" s="31">
        <v>44055</v>
      </c>
      <c r="T24" s="15" t="s">
        <v>176</v>
      </c>
      <c r="U24" s="15" t="s">
        <v>119</v>
      </c>
      <c r="V24" s="15" t="s">
        <v>120</v>
      </c>
      <c r="W24" s="31">
        <v>44442</v>
      </c>
      <c r="X24" s="15" t="s">
        <v>101</v>
      </c>
      <c r="Y24" s="15" t="s">
        <v>102</v>
      </c>
      <c r="Z24" s="15" t="s">
        <v>103</v>
      </c>
    </row>
    <row r="25" spans="1:26">
      <c r="A25" s="35">
        <v>1</v>
      </c>
      <c r="B25" s="35"/>
      <c r="C25" s="35"/>
      <c r="D25" s="35"/>
      <c r="E25" s="35"/>
      <c r="F25" s="35">
        <v>12.1</v>
      </c>
      <c r="G25" s="75" t="s">
        <v>56</v>
      </c>
      <c r="H25" s="35">
        <v>10</v>
      </c>
      <c r="J25" s="15" t="s">
        <v>56</v>
      </c>
      <c r="K25" s="35">
        <v>10.3</v>
      </c>
      <c r="L25" s="15" t="s">
        <v>56</v>
      </c>
      <c r="M25" s="35">
        <v>12.2</v>
      </c>
      <c r="N25" s="15" t="s">
        <v>56</v>
      </c>
      <c r="O25" s="35">
        <v>10.5</v>
      </c>
      <c r="P25" s="15" t="s">
        <v>56</v>
      </c>
      <c r="Q25" s="77">
        <v>11.02</v>
      </c>
      <c r="R25" s="15" t="s">
        <v>56</v>
      </c>
      <c r="S25" s="56">
        <v>15.37</v>
      </c>
      <c r="T25" s="15" t="s">
        <v>58</v>
      </c>
      <c r="U25" s="52">
        <v>18</v>
      </c>
      <c r="V25" s="15" t="s">
        <v>58</v>
      </c>
      <c r="W25" s="56">
        <v>16.239999999999998</v>
      </c>
      <c r="X25" s="15" t="s">
        <v>58</v>
      </c>
      <c r="Y25" s="56">
        <v>17.5</v>
      </c>
      <c r="Z25" s="15" t="s">
        <v>58</v>
      </c>
    </row>
    <row r="26" spans="1:26">
      <c r="A26" s="35">
        <v>2</v>
      </c>
      <c r="B26" s="35"/>
      <c r="C26" s="35"/>
      <c r="D26" s="35"/>
      <c r="E26" s="35"/>
      <c r="F26" s="35">
        <v>13.1</v>
      </c>
      <c r="G26" s="75" t="s">
        <v>56</v>
      </c>
      <c r="H26" s="35">
        <v>11.2</v>
      </c>
      <c r="J26" s="15" t="s">
        <v>56</v>
      </c>
      <c r="K26" s="35">
        <v>10</v>
      </c>
      <c r="L26" s="15" t="s">
        <v>56</v>
      </c>
      <c r="M26" s="35">
        <v>13.9</v>
      </c>
      <c r="N26" s="15" t="s">
        <v>56</v>
      </c>
      <c r="O26" s="35">
        <v>10.199999999999999</v>
      </c>
      <c r="P26" s="15" t="s">
        <v>56</v>
      </c>
      <c r="Q26" s="77">
        <v>11.29</v>
      </c>
      <c r="R26" s="15" t="s">
        <v>56</v>
      </c>
      <c r="S26" s="56">
        <v>15.5</v>
      </c>
      <c r="T26" s="15" t="s">
        <v>58</v>
      </c>
      <c r="U26" s="53">
        <v>28.29</v>
      </c>
      <c r="V26" s="15" t="s">
        <v>60</v>
      </c>
      <c r="W26" s="56">
        <v>17.14</v>
      </c>
      <c r="X26" s="15" t="s">
        <v>58</v>
      </c>
      <c r="Y26" s="49">
        <v>11.9</v>
      </c>
      <c r="Z26" s="15" t="s">
        <v>56</v>
      </c>
    </row>
    <row r="27" spans="1:26">
      <c r="A27" s="35">
        <v>3</v>
      </c>
      <c r="B27" s="35"/>
      <c r="C27" s="35"/>
      <c r="D27" s="35"/>
      <c r="E27" s="35"/>
      <c r="F27" s="35">
        <v>12.2</v>
      </c>
      <c r="G27" s="75" t="s">
        <v>56</v>
      </c>
      <c r="H27" s="35">
        <v>10.199999999999999</v>
      </c>
      <c r="J27" s="15" t="s">
        <v>56</v>
      </c>
      <c r="K27" s="35">
        <v>9.6</v>
      </c>
      <c r="L27" s="15" t="s">
        <v>56</v>
      </c>
      <c r="M27" s="35">
        <v>12.8</v>
      </c>
      <c r="N27" s="15" t="s">
        <v>56</v>
      </c>
      <c r="O27" s="35">
        <v>9.8000000000000007</v>
      </c>
      <c r="P27" s="15" t="s">
        <v>56</v>
      </c>
      <c r="Q27" s="77">
        <v>9.9600000000000009</v>
      </c>
      <c r="R27" s="15" t="s">
        <v>56</v>
      </c>
      <c r="S27" s="49">
        <v>13.77</v>
      </c>
      <c r="T27" s="15" t="s">
        <v>56</v>
      </c>
      <c r="U27" s="53">
        <v>21.01</v>
      </c>
      <c r="V27" s="15" t="s">
        <v>60</v>
      </c>
      <c r="W27" s="49">
        <v>14.53</v>
      </c>
      <c r="X27" s="15" t="s">
        <v>56</v>
      </c>
      <c r="Y27" s="56">
        <v>15.6</v>
      </c>
      <c r="Z27" s="15" t="s">
        <v>58</v>
      </c>
    </row>
    <row r="28" spans="1:26">
      <c r="A28" s="35">
        <v>4</v>
      </c>
      <c r="B28" s="35"/>
      <c r="C28" s="35"/>
      <c r="D28" s="35"/>
      <c r="E28" s="35"/>
      <c r="F28" s="35">
        <v>11.2</v>
      </c>
      <c r="G28" s="75" t="s">
        <v>56</v>
      </c>
      <c r="H28" s="35">
        <v>10.3</v>
      </c>
      <c r="J28" s="15" t="s">
        <v>56</v>
      </c>
      <c r="K28" s="35">
        <v>10.199999999999999</v>
      </c>
      <c r="L28" s="15" t="s">
        <v>56</v>
      </c>
      <c r="M28" s="35">
        <v>11.3</v>
      </c>
      <c r="N28" s="15" t="s">
        <v>56</v>
      </c>
      <c r="O28" s="35">
        <v>10.3</v>
      </c>
      <c r="P28" s="15" t="s">
        <v>56</v>
      </c>
      <c r="Q28" s="77">
        <v>10.48</v>
      </c>
      <c r="R28" s="15" t="s">
        <v>56</v>
      </c>
      <c r="S28" s="49">
        <v>14.99</v>
      </c>
      <c r="T28" s="15" t="s">
        <v>56</v>
      </c>
      <c r="U28" s="52">
        <v>16.079999999999998</v>
      </c>
      <c r="V28" s="15" t="s">
        <v>58</v>
      </c>
      <c r="W28" s="56">
        <v>16.5</v>
      </c>
      <c r="X28" s="15" t="s">
        <v>58</v>
      </c>
      <c r="Y28" s="56">
        <v>18</v>
      </c>
      <c r="Z28" s="15" t="s">
        <v>58</v>
      </c>
    </row>
    <row r="29" spans="1:26">
      <c r="A29" s="35">
        <v>5</v>
      </c>
      <c r="B29" s="35"/>
      <c r="C29" s="35"/>
      <c r="D29" s="35"/>
      <c r="E29" s="35"/>
      <c r="F29" s="35">
        <v>11.6</v>
      </c>
      <c r="G29" s="75" t="s">
        <v>56</v>
      </c>
      <c r="H29" s="35">
        <v>11.1</v>
      </c>
      <c r="J29" s="15" t="s">
        <v>56</v>
      </c>
      <c r="K29" s="35">
        <v>9.6999999999999993</v>
      </c>
      <c r="L29" s="15" t="s">
        <v>56</v>
      </c>
      <c r="M29" s="35">
        <v>11.8</v>
      </c>
      <c r="N29" s="15" t="s">
        <v>56</v>
      </c>
      <c r="O29" s="35">
        <v>9.8000000000000007</v>
      </c>
      <c r="P29" s="15" t="s">
        <v>56</v>
      </c>
      <c r="Q29" s="77">
        <v>10.57</v>
      </c>
      <c r="R29" s="15" t="s">
        <v>56</v>
      </c>
      <c r="S29" s="49">
        <v>14.3</v>
      </c>
      <c r="T29" s="15" t="s">
        <v>56</v>
      </c>
      <c r="U29" s="52">
        <v>16.649999999999999</v>
      </c>
      <c r="V29" s="15" t="s">
        <v>58</v>
      </c>
      <c r="W29" s="56">
        <v>16.55</v>
      </c>
      <c r="X29" s="15" t="s">
        <v>58</v>
      </c>
      <c r="Y29" s="49">
        <v>12.8</v>
      </c>
      <c r="Z29" s="15" t="s">
        <v>56</v>
      </c>
    </row>
    <row r="30" spans="1:26">
      <c r="A30" s="35">
        <v>6</v>
      </c>
      <c r="B30" s="35"/>
      <c r="C30" s="35"/>
      <c r="D30" s="35"/>
      <c r="E30" s="35"/>
      <c r="F30" s="35">
        <v>12.9</v>
      </c>
      <c r="G30" s="75" t="s">
        <v>56</v>
      </c>
      <c r="H30" s="35">
        <v>10</v>
      </c>
      <c r="J30" s="15" t="s">
        <v>56</v>
      </c>
      <c r="K30" s="35">
        <v>12.5</v>
      </c>
      <c r="L30" s="15" t="s">
        <v>56</v>
      </c>
      <c r="M30" s="35">
        <v>12.9</v>
      </c>
      <c r="N30" s="15" t="s">
        <v>56</v>
      </c>
      <c r="O30" s="35">
        <v>11.7</v>
      </c>
      <c r="P30" s="15" t="s">
        <v>56</v>
      </c>
      <c r="Q30" s="77">
        <v>11.08</v>
      </c>
      <c r="R30" s="15" t="s">
        <v>56</v>
      </c>
      <c r="S30" s="56">
        <v>19.23</v>
      </c>
      <c r="T30" s="15" t="s">
        <v>58</v>
      </c>
      <c r="U30" s="52">
        <v>15.97</v>
      </c>
      <c r="V30" s="15" t="s">
        <v>58</v>
      </c>
      <c r="W30" s="58">
        <v>21.29</v>
      </c>
      <c r="X30" s="15" t="s">
        <v>60</v>
      </c>
      <c r="Y30" s="58">
        <v>23.9</v>
      </c>
      <c r="Z30" s="15" t="s">
        <v>60</v>
      </c>
    </row>
    <row r="31" spans="1:26">
      <c r="A31" s="35">
        <v>7</v>
      </c>
      <c r="B31" s="35"/>
      <c r="C31" s="35"/>
      <c r="D31" s="35"/>
      <c r="E31" s="35"/>
      <c r="F31" s="35">
        <v>11.2</v>
      </c>
      <c r="G31" s="75" t="s">
        <v>56</v>
      </c>
      <c r="H31" s="35">
        <v>11.9</v>
      </c>
      <c r="J31" s="15" t="s">
        <v>56</v>
      </c>
      <c r="K31" s="35">
        <v>13.7</v>
      </c>
      <c r="L31" s="15" t="s">
        <v>56</v>
      </c>
      <c r="M31" s="35">
        <v>11.4</v>
      </c>
      <c r="N31" s="15" t="s">
        <v>56</v>
      </c>
      <c r="O31" s="35">
        <v>12.5</v>
      </c>
      <c r="P31" s="15" t="s">
        <v>56</v>
      </c>
      <c r="Q31" s="77">
        <v>12.66</v>
      </c>
      <c r="R31" s="15" t="s">
        <v>56</v>
      </c>
      <c r="S31" s="58">
        <v>26.58</v>
      </c>
      <c r="T31" s="15" t="s">
        <v>60</v>
      </c>
      <c r="U31" s="52">
        <v>16.87</v>
      </c>
      <c r="V31" s="15" t="s">
        <v>58</v>
      </c>
      <c r="W31" s="58">
        <v>28.84</v>
      </c>
      <c r="X31" s="15" t="s">
        <v>60</v>
      </c>
      <c r="Y31" s="58">
        <v>39.700000000000003</v>
      </c>
      <c r="Z31" s="15" t="s">
        <v>60</v>
      </c>
    </row>
    <row r="32" spans="1:26">
      <c r="A32" s="35">
        <v>8</v>
      </c>
      <c r="B32" s="35"/>
      <c r="C32" s="35"/>
      <c r="D32" s="35"/>
      <c r="E32" s="35"/>
      <c r="F32" s="35">
        <v>12</v>
      </c>
      <c r="G32" s="75" t="s">
        <v>56</v>
      </c>
      <c r="H32" s="35">
        <v>9.6</v>
      </c>
      <c r="J32" s="15" t="s">
        <v>56</v>
      </c>
      <c r="K32" s="35">
        <v>11.9</v>
      </c>
      <c r="L32" s="15" t="s">
        <v>56</v>
      </c>
      <c r="M32" s="35">
        <v>12.2</v>
      </c>
      <c r="N32" s="15" t="s">
        <v>56</v>
      </c>
      <c r="O32" s="35">
        <v>10.6</v>
      </c>
      <c r="P32" s="15" t="s">
        <v>56</v>
      </c>
      <c r="Q32" s="77">
        <v>11.98</v>
      </c>
      <c r="R32" s="15" t="s">
        <v>56</v>
      </c>
      <c r="S32" s="56">
        <v>16.989999999999998</v>
      </c>
      <c r="T32" s="15" t="s">
        <v>58</v>
      </c>
      <c r="U32" s="52">
        <v>16.5</v>
      </c>
      <c r="V32" s="15" t="s">
        <v>58</v>
      </c>
      <c r="W32" s="56">
        <v>18.38</v>
      </c>
      <c r="X32" s="15" t="s">
        <v>58</v>
      </c>
      <c r="Y32" s="49">
        <v>14.6</v>
      </c>
      <c r="Z32" s="15" t="s">
        <v>56</v>
      </c>
    </row>
    <row r="33" spans="1:26">
      <c r="A33" s="35">
        <v>9</v>
      </c>
      <c r="B33" s="35"/>
      <c r="C33" s="35"/>
      <c r="D33" s="35"/>
      <c r="E33" s="35"/>
      <c r="F33" s="35">
        <v>11.6</v>
      </c>
      <c r="G33" s="75" t="s">
        <v>56</v>
      </c>
      <c r="H33" s="35">
        <v>12.1</v>
      </c>
      <c r="J33" s="15" t="s">
        <v>56</v>
      </c>
      <c r="K33" s="35">
        <v>10.5</v>
      </c>
      <c r="L33" s="15" t="s">
        <v>56</v>
      </c>
      <c r="M33" s="35">
        <v>11</v>
      </c>
      <c r="N33" s="15" t="s">
        <v>56</v>
      </c>
      <c r="O33" s="35">
        <v>9.6999999999999993</v>
      </c>
      <c r="P33" s="15" t="s">
        <v>56</v>
      </c>
      <c r="Q33" s="77">
        <v>10.11</v>
      </c>
      <c r="R33" s="15" t="s">
        <v>56</v>
      </c>
      <c r="S33" s="49">
        <v>13.23</v>
      </c>
      <c r="T33" s="15" t="s">
        <v>56</v>
      </c>
      <c r="U33" s="52">
        <v>15.02</v>
      </c>
      <c r="V33" s="15" t="s">
        <v>58</v>
      </c>
      <c r="W33" s="49">
        <v>14.85</v>
      </c>
      <c r="X33" s="15" t="s">
        <v>56</v>
      </c>
      <c r="Y33" s="56">
        <v>15.9</v>
      </c>
      <c r="Z33" s="15" t="s">
        <v>58</v>
      </c>
    </row>
    <row r="34" spans="1:26">
      <c r="A34" s="35">
        <v>10</v>
      </c>
      <c r="B34" s="35"/>
      <c r="C34" s="35"/>
      <c r="D34" s="35"/>
      <c r="E34" s="35"/>
      <c r="F34" s="35">
        <v>11.4</v>
      </c>
      <c r="G34" s="75" t="s">
        <v>56</v>
      </c>
      <c r="H34" s="35">
        <v>11.4</v>
      </c>
      <c r="J34" s="15" t="s">
        <v>56</v>
      </c>
      <c r="K34" s="35">
        <v>9.6</v>
      </c>
      <c r="L34" s="15" t="s">
        <v>56</v>
      </c>
      <c r="M34" s="35">
        <v>9.8000000000000007</v>
      </c>
      <c r="N34" s="15" t="s">
        <v>56</v>
      </c>
      <c r="O34" s="35">
        <v>10.6</v>
      </c>
      <c r="P34" s="15" t="s">
        <v>56</v>
      </c>
      <c r="Q34" s="77">
        <v>9.7200000000000006</v>
      </c>
      <c r="R34" s="15" t="s">
        <v>56</v>
      </c>
      <c r="S34" s="49">
        <v>11.7</v>
      </c>
      <c r="T34" s="15" t="s">
        <v>56</v>
      </c>
      <c r="U34" s="34">
        <v>14.4</v>
      </c>
      <c r="V34" s="15" t="s">
        <v>56</v>
      </c>
      <c r="W34" s="49">
        <v>13.69</v>
      </c>
      <c r="X34" s="15" t="s">
        <v>56</v>
      </c>
      <c r="Y34" s="56">
        <v>16</v>
      </c>
      <c r="Z34" s="15" t="s">
        <v>58</v>
      </c>
    </row>
    <row r="35" spans="1:26">
      <c r="A35" s="35">
        <v>11</v>
      </c>
      <c r="B35" s="35"/>
      <c r="C35" s="35"/>
      <c r="D35" s="35"/>
      <c r="E35" s="35"/>
      <c r="F35" s="35">
        <v>10.9</v>
      </c>
      <c r="G35" s="75" t="s">
        <v>56</v>
      </c>
      <c r="H35" s="35">
        <v>10.6</v>
      </c>
      <c r="J35" s="15" t="s">
        <v>56</v>
      </c>
      <c r="K35" s="35">
        <v>10.7</v>
      </c>
      <c r="L35" s="15" t="s">
        <v>56</v>
      </c>
      <c r="M35" s="35">
        <v>9.5</v>
      </c>
      <c r="N35" s="15" t="s">
        <v>56</v>
      </c>
      <c r="O35" s="35">
        <v>11.8</v>
      </c>
      <c r="P35" s="15" t="s">
        <v>56</v>
      </c>
      <c r="Q35" s="77">
        <v>10.95</v>
      </c>
      <c r="R35" s="15" t="s">
        <v>56</v>
      </c>
      <c r="S35" s="56">
        <v>17.559999999999999</v>
      </c>
      <c r="T35" s="15" t="s">
        <v>58</v>
      </c>
      <c r="U35" s="34">
        <v>13.9</v>
      </c>
      <c r="V35" s="15" t="s">
        <v>56</v>
      </c>
      <c r="W35" s="49">
        <v>13.5</v>
      </c>
      <c r="X35" s="15" t="s">
        <v>56</v>
      </c>
      <c r="Y35" s="49">
        <v>13.5</v>
      </c>
      <c r="Z35" s="15" t="s">
        <v>56</v>
      </c>
    </row>
    <row r="36" spans="1:26">
      <c r="A36" s="35">
        <v>12</v>
      </c>
      <c r="B36" s="35"/>
      <c r="C36" s="35"/>
      <c r="D36" s="35"/>
      <c r="E36" s="35"/>
      <c r="F36" s="35">
        <v>11</v>
      </c>
      <c r="G36" s="75" t="s">
        <v>56</v>
      </c>
      <c r="H36" s="35">
        <v>11.5</v>
      </c>
      <c r="J36" s="15" t="s">
        <v>56</v>
      </c>
      <c r="K36" s="35">
        <v>10.4</v>
      </c>
      <c r="L36" s="15" t="s">
        <v>56</v>
      </c>
      <c r="M36" s="35">
        <v>9.8000000000000007</v>
      </c>
      <c r="N36" s="15" t="s">
        <v>56</v>
      </c>
      <c r="O36" s="35">
        <v>11.8</v>
      </c>
      <c r="P36" s="15" t="s">
        <v>56</v>
      </c>
      <c r="Q36" s="77">
        <v>11.17</v>
      </c>
      <c r="R36" s="15" t="s">
        <v>56</v>
      </c>
      <c r="S36" s="49">
        <v>14.96</v>
      </c>
      <c r="T36" s="15" t="s">
        <v>56</v>
      </c>
      <c r="U36" s="34">
        <v>13.81</v>
      </c>
      <c r="V36" s="15" t="s">
        <v>56</v>
      </c>
      <c r="W36" s="49">
        <v>13.15</v>
      </c>
      <c r="X36" s="15" t="s">
        <v>56</v>
      </c>
      <c r="Y36" s="49">
        <v>14</v>
      </c>
      <c r="Z36" s="15" t="s">
        <v>56</v>
      </c>
    </row>
    <row r="37" spans="1:26">
      <c r="A37" s="35">
        <v>13</v>
      </c>
      <c r="B37" s="35"/>
      <c r="C37" s="35"/>
      <c r="D37" s="35"/>
      <c r="E37" s="35"/>
      <c r="F37" s="35">
        <v>12.4</v>
      </c>
      <c r="G37" s="75" t="s">
        <v>56</v>
      </c>
      <c r="H37" s="35">
        <v>11.1</v>
      </c>
      <c r="J37" s="15" t="s">
        <v>56</v>
      </c>
      <c r="K37" s="35">
        <v>9.6999999999999993</v>
      </c>
      <c r="L37" s="15" t="s">
        <v>56</v>
      </c>
      <c r="M37" s="35">
        <v>12.1</v>
      </c>
      <c r="N37" s="15" t="s">
        <v>56</v>
      </c>
      <c r="O37" s="35">
        <v>10.199999999999999</v>
      </c>
      <c r="P37" s="15" t="s">
        <v>56</v>
      </c>
      <c r="Q37" s="77">
        <v>10.61</v>
      </c>
      <c r="R37" s="15" t="s">
        <v>56</v>
      </c>
      <c r="S37" s="49">
        <v>13.08</v>
      </c>
      <c r="T37" s="15" t="s">
        <v>56</v>
      </c>
      <c r="U37" s="34">
        <v>14.56</v>
      </c>
      <c r="V37" s="15" t="s">
        <v>56</v>
      </c>
      <c r="W37" s="56">
        <v>15.77</v>
      </c>
      <c r="X37" s="15" t="s">
        <v>58</v>
      </c>
      <c r="Y37" s="56">
        <v>17.8</v>
      </c>
      <c r="Z37" s="15" t="s">
        <v>58</v>
      </c>
    </row>
    <row r="38" spans="1:26">
      <c r="A38" s="35">
        <v>14</v>
      </c>
      <c r="B38" s="35"/>
      <c r="C38" s="35"/>
      <c r="D38" s="35"/>
      <c r="E38" s="35"/>
      <c r="F38" s="35">
        <v>12.2</v>
      </c>
      <c r="G38" s="75" t="s">
        <v>56</v>
      </c>
      <c r="H38" s="35">
        <v>10.3</v>
      </c>
      <c r="J38" s="15" t="s">
        <v>56</v>
      </c>
      <c r="K38" s="35">
        <v>9.4</v>
      </c>
      <c r="L38" s="15" t="s">
        <v>56</v>
      </c>
      <c r="M38" s="35">
        <v>12.5</v>
      </c>
      <c r="N38" s="15" t="s">
        <v>56</v>
      </c>
      <c r="O38" s="35">
        <v>9.9</v>
      </c>
      <c r="P38" s="15" t="s">
        <v>56</v>
      </c>
      <c r="Q38" s="77">
        <v>9.98</v>
      </c>
      <c r="R38" s="15" t="s">
        <v>56</v>
      </c>
      <c r="S38" s="49">
        <v>12.12</v>
      </c>
      <c r="T38" s="15" t="s">
        <v>56</v>
      </c>
      <c r="U38" s="52">
        <v>16.850000000000001</v>
      </c>
      <c r="V38" s="15" t="s">
        <v>58</v>
      </c>
      <c r="W38" s="56">
        <v>18.47</v>
      </c>
      <c r="X38" s="15" t="s">
        <v>58</v>
      </c>
      <c r="Y38" s="56">
        <v>19.3</v>
      </c>
      <c r="Z38" s="15" t="s">
        <v>58</v>
      </c>
    </row>
    <row r="39" spans="1:26">
      <c r="A39" s="35">
        <v>15</v>
      </c>
      <c r="B39" s="35"/>
      <c r="C39" s="35"/>
      <c r="D39" s="35"/>
      <c r="E39" s="35"/>
      <c r="F39" s="35">
        <v>11.4</v>
      </c>
      <c r="G39" s="75" t="s">
        <v>56</v>
      </c>
      <c r="H39" s="35">
        <v>9.9</v>
      </c>
      <c r="J39" s="15" t="s">
        <v>56</v>
      </c>
      <c r="K39" s="35">
        <v>9.5</v>
      </c>
      <c r="L39" s="15" t="s">
        <v>56</v>
      </c>
      <c r="M39" s="35">
        <v>11.3</v>
      </c>
      <c r="N39" s="15" t="s">
        <v>56</v>
      </c>
      <c r="O39" s="35">
        <v>10.4</v>
      </c>
      <c r="P39" s="15" t="s">
        <v>56</v>
      </c>
      <c r="Q39" s="77">
        <v>10.58</v>
      </c>
      <c r="R39" s="15" t="s">
        <v>56</v>
      </c>
      <c r="S39" s="49">
        <v>12.83</v>
      </c>
      <c r="T39" s="15" t="s">
        <v>56</v>
      </c>
      <c r="U39" s="34">
        <v>12.05</v>
      </c>
      <c r="V39" s="15" t="s">
        <v>56</v>
      </c>
      <c r="W39" s="49">
        <v>12.47</v>
      </c>
      <c r="X39" s="15" t="s">
        <v>56</v>
      </c>
      <c r="Y39" s="56">
        <v>16.899999999999999</v>
      </c>
      <c r="Z39" s="15" t="s">
        <v>58</v>
      </c>
    </row>
    <row r="40" spans="1:26">
      <c r="A40" s="35">
        <v>16</v>
      </c>
      <c r="B40" s="35"/>
      <c r="C40" s="35"/>
      <c r="D40" s="35"/>
      <c r="E40" s="35"/>
      <c r="F40" s="35">
        <v>10.9</v>
      </c>
      <c r="G40" s="75" t="s">
        <v>56</v>
      </c>
      <c r="H40" s="35">
        <v>10.8</v>
      </c>
      <c r="J40" s="15" t="s">
        <v>56</v>
      </c>
      <c r="K40" s="35">
        <v>11.5</v>
      </c>
      <c r="L40" s="15" t="s">
        <v>56</v>
      </c>
      <c r="M40" s="35">
        <v>9.5</v>
      </c>
      <c r="N40" s="15" t="s">
        <v>56</v>
      </c>
      <c r="O40" s="35">
        <v>10.199999999999999</v>
      </c>
      <c r="P40" s="15" t="s">
        <v>56</v>
      </c>
      <c r="Q40" s="77">
        <v>12.61</v>
      </c>
      <c r="R40" s="15" t="s">
        <v>56</v>
      </c>
      <c r="S40" s="49">
        <v>13.02</v>
      </c>
      <c r="T40" s="15" t="s">
        <v>56</v>
      </c>
      <c r="U40" s="34">
        <v>12.53</v>
      </c>
      <c r="V40" s="15" t="s">
        <v>56</v>
      </c>
      <c r="W40" s="49">
        <v>13.34</v>
      </c>
      <c r="X40" s="15" t="s">
        <v>56</v>
      </c>
      <c r="Y40" s="49">
        <v>15</v>
      </c>
      <c r="Z40" s="15" t="s">
        <v>56</v>
      </c>
    </row>
    <row r="41" spans="1:26">
      <c r="A41" s="35">
        <v>17</v>
      </c>
      <c r="B41" s="35"/>
      <c r="C41" s="35"/>
      <c r="D41" s="35"/>
      <c r="E41" s="35"/>
      <c r="F41" s="35">
        <v>12.8</v>
      </c>
      <c r="G41" s="75" t="s">
        <v>56</v>
      </c>
      <c r="H41" s="35">
        <v>11.9</v>
      </c>
      <c r="J41" s="15" t="s">
        <v>56</v>
      </c>
      <c r="K41" s="35">
        <v>10.6</v>
      </c>
      <c r="L41" s="15" t="s">
        <v>56</v>
      </c>
      <c r="M41" s="35">
        <v>10.7</v>
      </c>
      <c r="N41" s="15" t="s">
        <v>56</v>
      </c>
      <c r="O41" s="35">
        <v>9.9</v>
      </c>
      <c r="P41" s="15" t="s">
        <v>56</v>
      </c>
      <c r="Q41" s="77">
        <v>9.6199999999999992</v>
      </c>
      <c r="R41" s="15" t="s">
        <v>56</v>
      </c>
      <c r="S41" s="49">
        <v>10.37</v>
      </c>
      <c r="T41" s="15" t="s">
        <v>56</v>
      </c>
      <c r="U41" s="52">
        <v>16.2</v>
      </c>
      <c r="V41" s="15" t="s">
        <v>58</v>
      </c>
      <c r="W41" s="49">
        <v>10.53</v>
      </c>
      <c r="X41" s="15" t="s">
        <v>56</v>
      </c>
      <c r="Y41" s="49">
        <v>12.5</v>
      </c>
      <c r="Z41" s="15" t="s">
        <v>56</v>
      </c>
    </row>
    <row r="42" spans="1:26">
      <c r="A42" s="35">
        <v>18</v>
      </c>
      <c r="B42" s="35"/>
      <c r="C42" s="35"/>
      <c r="D42" s="35"/>
      <c r="E42" s="35"/>
      <c r="F42" s="35">
        <v>12.1</v>
      </c>
      <c r="G42" s="75" t="s">
        <v>56</v>
      </c>
      <c r="H42" s="35">
        <v>8.6999999999999993</v>
      </c>
      <c r="J42" s="15" t="s">
        <v>56</v>
      </c>
      <c r="K42" s="35">
        <v>10.199999999999999</v>
      </c>
      <c r="L42" s="15" t="s">
        <v>56</v>
      </c>
      <c r="M42" s="35">
        <v>10.9</v>
      </c>
      <c r="N42" s="15" t="s">
        <v>56</v>
      </c>
      <c r="O42" s="35">
        <v>10.5</v>
      </c>
      <c r="P42" s="15" t="s">
        <v>56</v>
      </c>
      <c r="Q42" s="77">
        <v>10.67</v>
      </c>
      <c r="R42" s="15" t="s">
        <v>56</v>
      </c>
      <c r="S42" s="56">
        <v>16.940000000000001</v>
      </c>
      <c r="T42" s="15" t="s">
        <v>58</v>
      </c>
      <c r="U42" s="34">
        <v>13.15</v>
      </c>
      <c r="V42" s="15" t="s">
        <v>56</v>
      </c>
      <c r="W42" s="56">
        <v>17.3</v>
      </c>
      <c r="X42" s="15" t="s">
        <v>58</v>
      </c>
      <c r="Y42" s="49">
        <v>13.6</v>
      </c>
      <c r="Z42" s="15" t="s">
        <v>56</v>
      </c>
    </row>
    <row r="43" spans="1:26">
      <c r="A43" s="35">
        <v>19</v>
      </c>
      <c r="B43" s="35"/>
      <c r="C43" s="35"/>
      <c r="D43" s="35"/>
      <c r="E43" s="35"/>
      <c r="F43" s="35">
        <v>12.8</v>
      </c>
      <c r="G43" s="75" t="s">
        <v>56</v>
      </c>
      <c r="H43" s="35">
        <v>9.9</v>
      </c>
      <c r="J43" s="15" t="s">
        <v>56</v>
      </c>
      <c r="K43" s="35">
        <v>10.9</v>
      </c>
      <c r="L43" s="15" t="s">
        <v>56</v>
      </c>
      <c r="M43" s="35">
        <v>11.5</v>
      </c>
      <c r="N43" s="15" t="s">
        <v>56</v>
      </c>
      <c r="O43" s="35">
        <v>10.6</v>
      </c>
      <c r="P43" s="15" t="s">
        <v>56</v>
      </c>
      <c r="Q43" s="77">
        <v>11.19</v>
      </c>
      <c r="R43" s="15" t="s">
        <v>56</v>
      </c>
      <c r="S43" s="49">
        <v>13.38</v>
      </c>
      <c r="T43" s="15" t="s">
        <v>56</v>
      </c>
      <c r="U43" s="34">
        <v>14.72</v>
      </c>
      <c r="V43" s="15" t="s">
        <v>56</v>
      </c>
      <c r="W43" s="49">
        <v>14.33</v>
      </c>
      <c r="X43" s="15" t="s">
        <v>56</v>
      </c>
      <c r="Y43" s="49">
        <v>13.3</v>
      </c>
      <c r="Z43" s="15" t="s">
        <v>56</v>
      </c>
    </row>
    <row r="44" spans="1:26">
      <c r="A44" s="35">
        <v>20</v>
      </c>
      <c r="B44" s="35"/>
      <c r="C44" s="35"/>
      <c r="D44" s="35"/>
      <c r="E44" s="35"/>
      <c r="F44" s="35">
        <v>11.6</v>
      </c>
      <c r="G44" s="75" t="s">
        <v>56</v>
      </c>
      <c r="H44" s="35">
        <v>9.6999999999999993</v>
      </c>
      <c r="J44" s="15" t="s">
        <v>56</v>
      </c>
      <c r="K44" s="35">
        <v>10.6</v>
      </c>
      <c r="L44" s="15" t="s">
        <v>56</v>
      </c>
      <c r="M44" s="35">
        <v>10.6</v>
      </c>
      <c r="N44" s="15" t="s">
        <v>56</v>
      </c>
      <c r="O44" s="35">
        <v>11.4</v>
      </c>
      <c r="P44" s="15" t="s">
        <v>56</v>
      </c>
      <c r="Q44" s="77">
        <v>10.34</v>
      </c>
      <c r="R44" s="15" t="s">
        <v>56</v>
      </c>
      <c r="S44" s="49">
        <v>14.86</v>
      </c>
      <c r="T44" s="15" t="s">
        <v>56</v>
      </c>
      <c r="U44" s="52">
        <v>15.46</v>
      </c>
      <c r="V44" s="15" t="s">
        <v>58</v>
      </c>
      <c r="W44" s="56">
        <v>16.079999999999998</v>
      </c>
      <c r="X44" s="15" t="s">
        <v>58</v>
      </c>
      <c r="Y44" s="49">
        <v>11.8</v>
      </c>
      <c r="Z44" s="15" t="s">
        <v>56</v>
      </c>
    </row>
    <row r="45" spans="1:26">
      <c r="A45" s="35">
        <v>21</v>
      </c>
      <c r="B45" s="35"/>
      <c r="C45" s="35"/>
      <c r="D45" s="35"/>
      <c r="E45" s="35"/>
      <c r="F45" s="35">
        <v>11.8</v>
      </c>
      <c r="G45" s="75" t="s">
        <v>56</v>
      </c>
      <c r="H45" s="35">
        <v>9.3000000000000007</v>
      </c>
      <c r="J45" s="15" t="s">
        <v>56</v>
      </c>
      <c r="K45" s="35">
        <v>10.7</v>
      </c>
      <c r="L45" s="15" t="s">
        <v>56</v>
      </c>
      <c r="M45" s="35">
        <v>10.8</v>
      </c>
      <c r="N45" s="15" t="s">
        <v>56</v>
      </c>
      <c r="O45" s="35">
        <v>10.199999999999999</v>
      </c>
      <c r="P45" s="15" t="s">
        <v>56</v>
      </c>
      <c r="Q45" s="77">
        <v>10.47</v>
      </c>
      <c r="R45" s="15" t="s">
        <v>56</v>
      </c>
      <c r="S45" s="56">
        <v>15.16</v>
      </c>
      <c r="T45" s="15" t="s">
        <v>58</v>
      </c>
      <c r="U45" s="34">
        <v>14.61</v>
      </c>
      <c r="V45" s="15" t="s">
        <v>56</v>
      </c>
      <c r="W45" s="56">
        <v>15.85</v>
      </c>
      <c r="X45" s="15" t="s">
        <v>58</v>
      </c>
      <c r="Y45" s="49">
        <v>13</v>
      </c>
      <c r="Z45" s="15" t="s">
        <v>56</v>
      </c>
    </row>
    <row r="46" spans="1:26">
      <c r="A46" s="35">
        <v>22</v>
      </c>
      <c r="B46" s="35"/>
      <c r="C46" s="35"/>
      <c r="D46" s="35"/>
      <c r="E46" s="35"/>
      <c r="F46" s="35">
        <v>11.6</v>
      </c>
      <c r="G46" s="75" t="s">
        <v>56</v>
      </c>
      <c r="H46" s="35">
        <v>10</v>
      </c>
      <c r="J46" s="15" t="s">
        <v>56</v>
      </c>
      <c r="K46" s="35">
        <v>11.1</v>
      </c>
      <c r="L46" s="15" t="s">
        <v>56</v>
      </c>
      <c r="M46" s="35">
        <v>10.8</v>
      </c>
      <c r="N46" s="15" t="s">
        <v>56</v>
      </c>
      <c r="O46" s="35">
        <v>11.5</v>
      </c>
      <c r="P46" s="15" t="s">
        <v>56</v>
      </c>
      <c r="Q46" s="77">
        <v>12.11</v>
      </c>
      <c r="R46" s="15" t="s">
        <v>56</v>
      </c>
      <c r="S46" s="49">
        <v>14.69</v>
      </c>
      <c r="T46" s="15" t="s">
        <v>56</v>
      </c>
      <c r="U46" s="34">
        <v>13.75</v>
      </c>
      <c r="V46" s="15" t="s">
        <v>56</v>
      </c>
      <c r="W46" s="49">
        <v>14.89</v>
      </c>
      <c r="X46" s="15" t="s">
        <v>56</v>
      </c>
      <c r="Y46" s="49">
        <v>11.8</v>
      </c>
      <c r="Z46" s="15" t="s">
        <v>56</v>
      </c>
    </row>
    <row r="47" spans="1:26">
      <c r="A47" s="35">
        <v>23</v>
      </c>
      <c r="B47" s="35"/>
      <c r="C47" s="35"/>
      <c r="D47" s="35"/>
      <c r="E47" s="35"/>
      <c r="F47" s="35">
        <v>10.7</v>
      </c>
      <c r="G47" s="75" t="s">
        <v>56</v>
      </c>
      <c r="H47" s="35">
        <v>9.5</v>
      </c>
      <c r="J47" s="15" t="s">
        <v>56</v>
      </c>
      <c r="K47" s="35">
        <v>10.3</v>
      </c>
      <c r="L47" s="15" t="s">
        <v>56</v>
      </c>
      <c r="M47" s="35">
        <v>10.3</v>
      </c>
      <c r="N47" s="15" t="s">
        <v>56</v>
      </c>
      <c r="O47" s="35">
        <v>10.5</v>
      </c>
      <c r="P47" s="15" t="s">
        <v>56</v>
      </c>
      <c r="Q47" s="77">
        <v>10.34</v>
      </c>
      <c r="R47" s="15" t="s">
        <v>56</v>
      </c>
      <c r="S47" s="49">
        <v>12.32</v>
      </c>
      <c r="T47" s="15" t="s">
        <v>56</v>
      </c>
      <c r="U47" s="52">
        <v>17.21</v>
      </c>
      <c r="V47" s="15" t="s">
        <v>58</v>
      </c>
      <c r="W47" s="49">
        <v>13.07</v>
      </c>
      <c r="X47" s="15" t="s">
        <v>56</v>
      </c>
      <c r="Y47" s="49">
        <v>12.5</v>
      </c>
      <c r="Z47" s="15" t="s">
        <v>56</v>
      </c>
    </row>
    <row r="48" spans="1:26">
      <c r="A48" s="35">
        <v>24</v>
      </c>
      <c r="B48" s="35"/>
      <c r="C48" s="35"/>
      <c r="D48" s="35"/>
      <c r="E48" s="35"/>
      <c r="F48" s="35">
        <v>9.8000000000000007</v>
      </c>
      <c r="G48" s="75" t="s">
        <v>56</v>
      </c>
      <c r="H48" s="35">
        <v>10.199999999999999</v>
      </c>
      <c r="J48" s="15" t="s">
        <v>56</v>
      </c>
      <c r="K48" s="35">
        <v>12.9</v>
      </c>
      <c r="L48" s="15" t="s">
        <v>56</v>
      </c>
      <c r="M48" s="35">
        <v>9.6</v>
      </c>
      <c r="N48" s="15" t="s">
        <v>56</v>
      </c>
      <c r="O48" s="35">
        <v>11.1</v>
      </c>
      <c r="P48" s="15" t="s">
        <v>56</v>
      </c>
      <c r="Q48" s="77">
        <v>13.19</v>
      </c>
      <c r="R48" s="15" t="s">
        <v>56</v>
      </c>
      <c r="S48" s="49">
        <v>14.03</v>
      </c>
      <c r="T48" s="15" t="s">
        <v>56</v>
      </c>
      <c r="U48" s="34">
        <v>10.01</v>
      </c>
      <c r="V48" s="15" t="s">
        <v>56</v>
      </c>
      <c r="W48" s="56">
        <v>15.29</v>
      </c>
      <c r="X48" s="15" t="s">
        <v>107</v>
      </c>
      <c r="Y48" s="49">
        <v>10.9</v>
      </c>
      <c r="Z48" s="15" t="s">
        <v>56</v>
      </c>
    </row>
    <row r="49" spans="1:26">
      <c r="A49" s="35">
        <v>25</v>
      </c>
      <c r="B49" s="35"/>
      <c r="C49" s="35"/>
      <c r="D49" s="35"/>
      <c r="E49" s="35"/>
      <c r="F49" s="35">
        <v>10.3</v>
      </c>
      <c r="G49" s="75" t="s">
        <v>56</v>
      </c>
      <c r="H49" s="35">
        <v>9.6</v>
      </c>
      <c r="J49" s="15" t="s">
        <v>56</v>
      </c>
      <c r="K49" s="35">
        <v>10.5</v>
      </c>
      <c r="L49" s="15" t="s">
        <v>56</v>
      </c>
      <c r="M49" s="35">
        <v>10.3</v>
      </c>
      <c r="N49" s="15" t="s">
        <v>56</v>
      </c>
      <c r="O49" s="35">
        <v>10</v>
      </c>
      <c r="P49" s="15" t="s">
        <v>56</v>
      </c>
      <c r="Q49" s="77">
        <v>10.79</v>
      </c>
      <c r="R49" s="15" t="s">
        <v>56</v>
      </c>
      <c r="S49" s="49">
        <v>13.56</v>
      </c>
      <c r="T49" s="15" t="s">
        <v>56</v>
      </c>
      <c r="U49" s="34">
        <v>12.2</v>
      </c>
      <c r="V49" s="15" t="s">
        <v>56</v>
      </c>
      <c r="W49" s="49">
        <v>12.4</v>
      </c>
      <c r="X49" s="15" t="s">
        <v>56</v>
      </c>
      <c r="Y49" s="56">
        <v>15.2</v>
      </c>
      <c r="Z49" s="15" t="s">
        <v>58</v>
      </c>
    </row>
    <row r="50" spans="1:26">
      <c r="A50" s="35">
        <v>26</v>
      </c>
      <c r="B50" s="35"/>
      <c r="C50" s="35"/>
      <c r="D50" s="35"/>
      <c r="E50" s="35"/>
      <c r="F50" s="35">
        <v>9.8000000000000007</v>
      </c>
      <c r="G50" s="75" t="s">
        <v>56</v>
      </c>
      <c r="H50" s="35">
        <v>9.3000000000000007</v>
      </c>
      <c r="J50" s="15" t="s">
        <v>56</v>
      </c>
      <c r="K50" s="35">
        <v>9.1</v>
      </c>
      <c r="L50" s="15" t="s">
        <v>56</v>
      </c>
      <c r="M50" s="35">
        <v>10.3</v>
      </c>
      <c r="N50" s="15" t="s">
        <v>56</v>
      </c>
      <c r="O50" s="35">
        <v>9.1</v>
      </c>
      <c r="P50" s="15" t="s">
        <v>56</v>
      </c>
      <c r="Q50" s="77">
        <v>9.33</v>
      </c>
      <c r="R50" s="15" t="s">
        <v>56</v>
      </c>
      <c r="S50" s="49">
        <v>11.97</v>
      </c>
      <c r="T50" s="15" t="s">
        <v>56</v>
      </c>
      <c r="U50" s="34">
        <v>12.68</v>
      </c>
      <c r="V50" s="15" t="s">
        <v>56</v>
      </c>
      <c r="W50" s="49">
        <v>14.3</v>
      </c>
      <c r="X50" s="15" t="s">
        <v>56</v>
      </c>
      <c r="Y50" s="49">
        <v>11.5</v>
      </c>
      <c r="Z50" s="15" t="s">
        <v>56</v>
      </c>
    </row>
    <row r="51" spans="1:26">
      <c r="A51" s="35">
        <v>27</v>
      </c>
      <c r="B51" s="35"/>
      <c r="C51" s="35"/>
      <c r="D51" s="35"/>
      <c r="E51" s="35"/>
      <c r="F51" s="35">
        <v>11.1</v>
      </c>
      <c r="G51" s="75" t="s">
        <v>56</v>
      </c>
      <c r="H51" s="35">
        <v>9.9</v>
      </c>
      <c r="J51" s="15" t="s">
        <v>56</v>
      </c>
      <c r="K51" s="35">
        <v>11.6</v>
      </c>
      <c r="L51" s="15" t="s">
        <v>56</v>
      </c>
      <c r="M51" s="35">
        <v>11</v>
      </c>
      <c r="N51" s="15" t="s">
        <v>56</v>
      </c>
      <c r="O51" s="35">
        <v>11.8</v>
      </c>
      <c r="P51" s="15" t="s">
        <v>56</v>
      </c>
      <c r="Q51" s="77">
        <v>11.64</v>
      </c>
      <c r="R51" s="15" t="s">
        <v>56</v>
      </c>
      <c r="S51" s="49">
        <v>12</v>
      </c>
      <c r="T51" s="15" t="s">
        <v>56</v>
      </c>
      <c r="U51" s="34">
        <v>14.7</v>
      </c>
      <c r="V51" s="15" t="s">
        <v>56</v>
      </c>
      <c r="W51" s="49">
        <v>12.62</v>
      </c>
      <c r="X51" s="15" t="s">
        <v>56</v>
      </c>
      <c r="Y51" s="49">
        <v>13</v>
      </c>
      <c r="Z51" s="15" t="s">
        <v>56</v>
      </c>
    </row>
    <row r="52" spans="1:26">
      <c r="A52" s="35">
        <v>28</v>
      </c>
      <c r="B52" s="35"/>
      <c r="C52" s="35"/>
      <c r="D52" s="35"/>
      <c r="E52" s="35"/>
      <c r="F52" s="35">
        <v>10.8</v>
      </c>
      <c r="G52" s="75" t="s">
        <v>56</v>
      </c>
      <c r="H52" s="35">
        <v>9.1</v>
      </c>
      <c r="J52" s="15" t="s">
        <v>56</v>
      </c>
      <c r="K52" s="35">
        <v>9.8000000000000007</v>
      </c>
      <c r="L52" s="15" t="s">
        <v>56</v>
      </c>
      <c r="M52" s="35">
        <v>9.5</v>
      </c>
      <c r="N52" s="15" t="s">
        <v>56</v>
      </c>
      <c r="O52" s="35">
        <v>9.1999999999999993</v>
      </c>
      <c r="P52" s="15" t="s">
        <v>56</v>
      </c>
      <c r="Q52" s="77">
        <v>9.65</v>
      </c>
      <c r="R52" s="15" t="s">
        <v>56</v>
      </c>
      <c r="S52" s="49">
        <v>12.31</v>
      </c>
      <c r="T52" s="15" t="s">
        <v>56</v>
      </c>
      <c r="U52" s="34">
        <v>13.22</v>
      </c>
      <c r="V52" s="15" t="s">
        <v>56</v>
      </c>
      <c r="W52" s="49">
        <v>14.93</v>
      </c>
      <c r="X52" s="15" t="s">
        <v>56</v>
      </c>
      <c r="Y52" s="49">
        <v>11.4</v>
      </c>
      <c r="Z52" s="15" t="s">
        <v>56</v>
      </c>
    </row>
    <row r="53" spans="1:26">
      <c r="A53" s="35">
        <v>29</v>
      </c>
      <c r="B53" s="35"/>
      <c r="C53" s="35"/>
      <c r="D53" s="35"/>
      <c r="E53" s="35"/>
      <c r="F53" s="35">
        <v>9.9</v>
      </c>
      <c r="G53" s="75" t="s">
        <v>56</v>
      </c>
      <c r="H53" s="35">
        <v>9.4</v>
      </c>
      <c r="J53" s="15" t="s">
        <v>56</v>
      </c>
      <c r="K53" s="35">
        <v>11.2</v>
      </c>
      <c r="L53" s="15" t="s">
        <v>56</v>
      </c>
      <c r="M53" s="35">
        <v>12.9</v>
      </c>
      <c r="N53" s="15" t="s">
        <v>56</v>
      </c>
      <c r="O53" s="35">
        <v>11</v>
      </c>
      <c r="P53" s="15" t="s">
        <v>56</v>
      </c>
      <c r="Q53" s="77">
        <v>9.7200000000000006</v>
      </c>
      <c r="R53" s="15" t="s">
        <v>56</v>
      </c>
      <c r="S53" s="49">
        <v>13.45</v>
      </c>
      <c r="T53" s="15" t="s">
        <v>56</v>
      </c>
      <c r="U53" s="34">
        <v>12.34</v>
      </c>
      <c r="V53" s="15" t="s">
        <v>56</v>
      </c>
      <c r="W53" s="49">
        <v>12.11</v>
      </c>
      <c r="X53" s="15" t="s">
        <v>56</v>
      </c>
      <c r="Y53" s="49">
        <v>13</v>
      </c>
      <c r="Z53" s="15" t="s">
        <v>56</v>
      </c>
    </row>
    <row r="54" spans="1:26">
      <c r="A54" s="35">
        <v>30</v>
      </c>
      <c r="B54" s="35"/>
      <c r="C54" s="35"/>
      <c r="D54" s="35"/>
      <c r="E54" s="35"/>
      <c r="F54" s="35">
        <v>12.2</v>
      </c>
      <c r="G54" s="75" t="s">
        <v>56</v>
      </c>
      <c r="H54" s="35">
        <v>9.8000000000000007</v>
      </c>
      <c r="J54" s="15" t="s">
        <v>56</v>
      </c>
      <c r="K54" s="35">
        <v>10.4</v>
      </c>
      <c r="L54" s="15" t="s">
        <v>56</v>
      </c>
      <c r="M54" s="35">
        <v>11</v>
      </c>
      <c r="N54" s="15" t="s">
        <v>56</v>
      </c>
      <c r="O54" s="35">
        <v>10.5</v>
      </c>
      <c r="P54" s="15" t="s">
        <v>56</v>
      </c>
      <c r="Q54" s="77">
        <v>10.7</v>
      </c>
      <c r="R54" s="15" t="s">
        <v>56</v>
      </c>
      <c r="S54" s="49">
        <v>13.33</v>
      </c>
      <c r="T54" s="15" t="s">
        <v>56</v>
      </c>
      <c r="U54" s="34">
        <v>13.81</v>
      </c>
      <c r="V54" s="15" t="s">
        <v>56</v>
      </c>
      <c r="W54" s="49">
        <v>11.92</v>
      </c>
      <c r="X54" s="15" t="s">
        <v>56</v>
      </c>
      <c r="Y54" s="49">
        <v>11.9</v>
      </c>
      <c r="Z54" s="15" t="s">
        <v>56</v>
      </c>
    </row>
    <row r="55" spans="1:26">
      <c r="A55" s="35">
        <v>31</v>
      </c>
      <c r="B55" s="35"/>
      <c r="C55" s="35"/>
      <c r="D55" s="35"/>
      <c r="E55" s="35"/>
      <c r="F55" s="35">
        <v>10.6</v>
      </c>
      <c r="G55" s="75" t="s">
        <v>56</v>
      </c>
      <c r="H55" s="35">
        <v>9.6</v>
      </c>
      <c r="J55" s="15" t="s">
        <v>56</v>
      </c>
      <c r="K55" s="35">
        <v>10.8</v>
      </c>
      <c r="L55" s="15" t="s">
        <v>56</v>
      </c>
      <c r="M55" s="35">
        <v>11.3</v>
      </c>
      <c r="N55" s="15" t="s">
        <v>56</v>
      </c>
      <c r="O55" s="35">
        <v>9.6999999999999993</v>
      </c>
      <c r="P55" s="15" t="s">
        <v>56</v>
      </c>
      <c r="Q55" s="77">
        <v>10.32</v>
      </c>
      <c r="R55" s="15" t="s">
        <v>56</v>
      </c>
      <c r="S55" s="49">
        <v>12.93</v>
      </c>
      <c r="T55" s="15" t="s">
        <v>56</v>
      </c>
      <c r="U55" s="34">
        <v>11.27</v>
      </c>
      <c r="V55" s="15" t="s">
        <v>56</v>
      </c>
      <c r="W55" s="49">
        <v>12.03</v>
      </c>
      <c r="X55" s="15" t="s">
        <v>56</v>
      </c>
      <c r="Y55" s="49">
        <v>12.3</v>
      </c>
      <c r="Z55" s="15" t="s">
        <v>56</v>
      </c>
    </row>
    <row r="56" spans="1:26">
      <c r="A56" s="35">
        <v>32</v>
      </c>
      <c r="B56" s="35"/>
      <c r="C56" s="35"/>
      <c r="D56" s="35"/>
      <c r="E56" s="35"/>
      <c r="F56" s="35">
        <v>10.4</v>
      </c>
      <c r="G56" s="75" t="s">
        <v>56</v>
      </c>
      <c r="H56" s="35">
        <v>10</v>
      </c>
      <c r="J56" s="15" t="s">
        <v>56</v>
      </c>
      <c r="K56" s="35">
        <v>11.3</v>
      </c>
      <c r="L56" s="15" t="s">
        <v>56</v>
      </c>
      <c r="M56" s="35">
        <v>10.9</v>
      </c>
      <c r="N56" s="15" t="s">
        <v>56</v>
      </c>
      <c r="O56" s="35">
        <v>9.8000000000000007</v>
      </c>
      <c r="P56" s="15" t="s">
        <v>56</v>
      </c>
      <c r="Q56" s="77">
        <v>10.87</v>
      </c>
      <c r="R56" s="15" t="s">
        <v>56</v>
      </c>
      <c r="S56" s="49">
        <v>10.77</v>
      </c>
      <c r="T56" s="15" t="s">
        <v>56</v>
      </c>
      <c r="U56" s="34">
        <v>13.79</v>
      </c>
      <c r="V56" s="15" t="s">
        <v>56</v>
      </c>
      <c r="W56" s="49">
        <v>12.8</v>
      </c>
      <c r="X56" s="15" t="s">
        <v>56</v>
      </c>
      <c r="Y56" s="56">
        <v>15.8</v>
      </c>
      <c r="Z56" s="15" t="s">
        <v>58</v>
      </c>
    </row>
    <row r="58" spans="1:26">
      <c r="A58" s="15" t="s">
        <v>46</v>
      </c>
    </row>
    <row r="59" spans="1:26">
      <c r="A59" s="75" t="s">
        <v>172</v>
      </c>
      <c r="B59" s="15" t="s">
        <v>177</v>
      </c>
    </row>
    <row r="60" spans="1:26">
      <c r="A60" s="75" t="s">
        <v>173</v>
      </c>
      <c r="B60" s="15" t="s">
        <v>174</v>
      </c>
    </row>
    <row r="61" spans="1:26">
      <c r="A61" s="75" t="s">
        <v>129</v>
      </c>
      <c r="B61" s="73">
        <v>43468</v>
      </c>
      <c r="C61" s="15" t="s">
        <v>160</v>
      </c>
      <c r="D61" s="15" t="s">
        <v>161</v>
      </c>
      <c r="E61" s="15" t="s">
        <v>162</v>
      </c>
      <c r="F61" s="15" t="s">
        <v>163</v>
      </c>
      <c r="G61" s="15" t="s">
        <v>164</v>
      </c>
      <c r="H61" s="15" t="s">
        <v>90</v>
      </c>
      <c r="J61" s="15" t="s">
        <v>91</v>
      </c>
      <c r="K61" s="15" t="s">
        <v>6</v>
      </c>
      <c r="L61" s="15" t="s">
        <v>92</v>
      </c>
      <c r="M61" s="15" t="s">
        <v>7</v>
      </c>
      <c r="N61" s="15" t="s">
        <v>93</v>
      </c>
      <c r="O61" s="31">
        <v>43508</v>
      </c>
      <c r="P61" s="15" t="s">
        <v>175</v>
      </c>
      <c r="Q61" s="31">
        <v>44075</v>
      </c>
      <c r="R61" s="15" t="s">
        <v>95</v>
      </c>
      <c r="S61" s="31">
        <v>44055</v>
      </c>
      <c r="T61" s="15" t="s">
        <v>176</v>
      </c>
      <c r="U61" s="15" t="s">
        <v>119</v>
      </c>
      <c r="V61" s="15" t="s">
        <v>120</v>
      </c>
      <c r="W61" s="31">
        <v>44442</v>
      </c>
      <c r="X61" s="15" t="s">
        <v>101</v>
      </c>
      <c r="Y61" s="15" t="s">
        <v>102</v>
      </c>
      <c r="Z61" s="15" t="s">
        <v>103</v>
      </c>
    </row>
    <row r="62" spans="1:26">
      <c r="A62" s="35">
        <v>1</v>
      </c>
      <c r="B62" s="35"/>
      <c r="C62" s="35"/>
      <c r="D62" s="35"/>
      <c r="E62" s="35"/>
      <c r="F62" s="35">
        <v>12.1</v>
      </c>
      <c r="G62" s="75" t="s">
        <v>56</v>
      </c>
      <c r="H62" s="35">
        <v>5.7</v>
      </c>
      <c r="J62" s="15" t="s">
        <v>56</v>
      </c>
      <c r="K62" s="35">
        <v>12.2</v>
      </c>
      <c r="L62" s="15" t="s">
        <v>56</v>
      </c>
      <c r="M62" s="35">
        <v>10</v>
      </c>
      <c r="N62" s="15" t="s">
        <v>56</v>
      </c>
      <c r="O62" s="35">
        <v>12.5</v>
      </c>
      <c r="P62" s="15" t="s">
        <v>56</v>
      </c>
      <c r="Q62" s="77">
        <v>12.17</v>
      </c>
      <c r="R62" s="89" t="s">
        <v>56</v>
      </c>
      <c r="S62" s="56">
        <v>16.57</v>
      </c>
      <c r="T62" s="15" t="s">
        <v>58</v>
      </c>
      <c r="U62" s="52">
        <v>18.53</v>
      </c>
      <c r="V62" s="15" t="s">
        <v>58</v>
      </c>
      <c r="W62" s="49">
        <v>12.47</v>
      </c>
      <c r="X62" s="15" t="s">
        <v>56</v>
      </c>
      <c r="Y62" s="56">
        <v>16.399999999999999</v>
      </c>
      <c r="Z62" s="15" t="s">
        <v>58</v>
      </c>
    </row>
    <row r="63" spans="1:26">
      <c r="A63" s="35">
        <v>2</v>
      </c>
      <c r="B63" s="35"/>
      <c r="C63" s="35"/>
      <c r="D63" s="35"/>
      <c r="E63" s="35"/>
      <c r="F63" s="35">
        <v>13.1</v>
      </c>
      <c r="G63" s="75" t="s">
        <v>56</v>
      </c>
      <c r="H63" s="35">
        <v>5.8</v>
      </c>
      <c r="J63" s="15" t="s">
        <v>56</v>
      </c>
      <c r="K63" s="35">
        <v>10.1</v>
      </c>
      <c r="L63" s="15" t="s">
        <v>56</v>
      </c>
      <c r="M63" s="54">
        <v>23.8</v>
      </c>
      <c r="N63" s="15" t="s">
        <v>58</v>
      </c>
      <c r="O63" s="54">
        <v>18.3</v>
      </c>
      <c r="P63" s="15" t="s">
        <v>58</v>
      </c>
      <c r="Q63" s="90">
        <v>19.239999999999998</v>
      </c>
      <c r="R63" s="89" t="s">
        <v>58</v>
      </c>
      <c r="S63" s="56">
        <v>15.66</v>
      </c>
      <c r="T63" s="15" t="s">
        <v>58</v>
      </c>
      <c r="U63" s="52">
        <v>16.010000000000002</v>
      </c>
      <c r="V63" s="15" t="s">
        <v>58</v>
      </c>
      <c r="W63" s="49">
        <v>11.33</v>
      </c>
      <c r="X63" s="15" t="s">
        <v>56</v>
      </c>
      <c r="Y63" s="56">
        <v>18.399999999999999</v>
      </c>
      <c r="Z63" s="15" t="s">
        <v>58</v>
      </c>
    </row>
    <row r="64" spans="1:26">
      <c r="A64" s="35">
        <v>3</v>
      </c>
      <c r="B64" s="35"/>
      <c r="C64" s="35"/>
      <c r="D64" s="35"/>
      <c r="E64" s="35"/>
      <c r="F64" s="35">
        <v>12.2</v>
      </c>
      <c r="G64" s="75" t="s">
        <v>56</v>
      </c>
      <c r="H64" s="35">
        <v>5.7</v>
      </c>
      <c r="J64" s="15" t="s">
        <v>56</v>
      </c>
      <c r="K64" s="35">
        <v>10.3</v>
      </c>
      <c r="L64" s="15" t="s">
        <v>56</v>
      </c>
      <c r="M64" s="35">
        <v>12.1</v>
      </c>
      <c r="N64" s="15" t="s">
        <v>56</v>
      </c>
      <c r="O64" s="35">
        <v>11.4</v>
      </c>
      <c r="P64" s="15" t="s">
        <v>56</v>
      </c>
      <c r="Q64" s="77">
        <v>12.39</v>
      </c>
      <c r="R64" s="89" t="s">
        <v>56</v>
      </c>
      <c r="S64" s="49">
        <v>12.41</v>
      </c>
      <c r="T64" s="15" t="s">
        <v>56</v>
      </c>
      <c r="U64" s="34">
        <v>12.59</v>
      </c>
      <c r="V64" s="15" t="s">
        <v>56</v>
      </c>
      <c r="W64" s="49">
        <v>12.09</v>
      </c>
      <c r="X64" s="15" t="s">
        <v>56</v>
      </c>
      <c r="Y64" s="56">
        <v>16.7</v>
      </c>
      <c r="Z64" s="15" t="s">
        <v>58</v>
      </c>
    </row>
    <row r="65" spans="1:26">
      <c r="A65" s="35">
        <v>4</v>
      </c>
      <c r="B65" s="35"/>
      <c r="C65" s="35"/>
      <c r="D65" s="35"/>
      <c r="E65" s="35"/>
      <c r="F65" s="35">
        <v>11.2</v>
      </c>
      <c r="G65" s="75" t="s">
        <v>56</v>
      </c>
      <c r="H65" s="35">
        <v>4.9000000000000004</v>
      </c>
      <c r="J65" s="15" t="s">
        <v>56</v>
      </c>
      <c r="K65" s="35">
        <v>10</v>
      </c>
      <c r="L65" s="15" t="s">
        <v>56</v>
      </c>
      <c r="M65" s="35">
        <v>9.6</v>
      </c>
      <c r="N65" s="15" t="s">
        <v>56</v>
      </c>
      <c r="O65" s="35">
        <v>8.8000000000000007</v>
      </c>
      <c r="P65" s="15" t="s">
        <v>56</v>
      </c>
      <c r="Q65" s="77">
        <v>11.66</v>
      </c>
      <c r="R65" s="89" t="s">
        <v>56</v>
      </c>
      <c r="S65" s="56">
        <v>17.07</v>
      </c>
      <c r="T65" s="15" t="s">
        <v>58</v>
      </c>
      <c r="U65" s="52">
        <v>17.75</v>
      </c>
      <c r="V65" s="15" t="s">
        <v>58</v>
      </c>
      <c r="W65" s="49">
        <v>13.6</v>
      </c>
      <c r="X65" s="15" t="s">
        <v>56</v>
      </c>
      <c r="Y65" s="56">
        <v>18</v>
      </c>
      <c r="Z65" s="15" t="s">
        <v>58</v>
      </c>
    </row>
    <row r="66" spans="1:26">
      <c r="A66" s="35">
        <v>5</v>
      </c>
      <c r="B66" s="35"/>
      <c r="C66" s="35"/>
      <c r="D66" s="35"/>
      <c r="E66" s="35"/>
      <c r="F66" s="35">
        <v>11.6</v>
      </c>
      <c r="G66" s="75" t="s">
        <v>56</v>
      </c>
      <c r="H66" s="35">
        <v>5.9</v>
      </c>
      <c r="J66" s="15" t="s">
        <v>56</v>
      </c>
      <c r="K66" s="35">
        <v>10</v>
      </c>
      <c r="L66" s="15" t="s">
        <v>56</v>
      </c>
      <c r="M66" s="35">
        <v>11.9</v>
      </c>
      <c r="N66" s="15" t="s">
        <v>56</v>
      </c>
      <c r="O66" s="35">
        <v>10.199999999999999</v>
      </c>
      <c r="P66" s="15" t="s">
        <v>56</v>
      </c>
      <c r="Q66" s="77">
        <v>11.18</v>
      </c>
      <c r="R66" s="89" t="s">
        <v>56</v>
      </c>
      <c r="S66" s="49">
        <v>14.36</v>
      </c>
      <c r="T66" s="15" t="s">
        <v>56</v>
      </c>
      <c r="U66" s="34">
        <v>14.24</v>
      </c>
      <c r="V66" s="15" t="s">
        <v>56</v>
      </c>
      <c r="W66" s="49">
        <v>12.05</v>
      </c>
      <c r="X66" s="15" t="s">
        <v>56</v>
      </c>
      <c r="Y66" s="56">
        <v>17.399999999999999</v>
      </c>
      <c r="Z66" s="15" t="s">
        <v>58</v>
      </c>
    </row>
    <row r="67" spans="1:26">
      <c r="A67" s="35">
        <v>6</v>
      </c>
      <c r="B67" s="35"/>
      <c r="C67" s="35"/>
      <c r="D67" s="35"/>
      <c r="E67" s="35"/>
      <c r="F67" s="35">
        <v>12.9</v>
      </c>
      <c r="G67" s="75" t="s">
        <v>56</v>
      </c>
      <c r="H67" s="35">
        <v>6.5</v>
      </c>
      <c r="J67" s="15" t="s">
        <v>56</v>
      </c>
      <c r="K67" s="35">
        <v>11</v>
      </c>
      <c r="L67" s="15" t="s">
        <v>56</v>
      </c>
      <c r="M67" s="35">
        <v>10.5</v>
      </c>
      <c r="N67" s="15" t="s">
        <v>56</v>
      </c>
      <c r="O67" s="35">
        <v>10.4</v>
      </c>
      <c r="P67" s="15" t="s">
        <v>56</v>
      </c>
      <c r="Q67" s="77">
        <v>11.25</v>
      </c>
      <c r="R67" s="89" t="s">
        <v>56</v>
      </c>
      <c r="S67" s="58">
        <v>22.78</v>
      </c>
      <c r="T67" s="15" t="s">
        <v>60</v>
      </c>
      <c r="U67" s="53">
        <v>24.08</v>
      </c>
      <c r="V67" s="15" t="s">
        <v>60</v>
      </c>
      <c r="W67" s="49">
        <v>10.37</v>
      </c>
      <c r="X67" s="15" t="s">
        <v>56</v>
      </c>
      <c r="Y67" s="58">
        <v>22.6</v>
      </c>
      <c r="Z67" s="15" t="s">
        <v>60</v>
      </c>
    </row>
    <row r="68" spans="1:26">
      <c r="A68" s="35">
        <v>7</v>
      </c>
      <c r="B68" s="35"/>
      <c r="C68" s="35"/>
      <c r="D68" s="35"/>
      <c r="E68" s="35"/>
      <c r="F68" s="35">
        <v>11.2</v>
      </c>
      <c r="G68" s="75" t="s">
        <v>56</v>
      </c>
      <c r="H68" s="45">
        <v>9999</v>
      </c>
      <c r="J68" s="15" t="s">
        <v>60</v>
      </c>
      <c r="K68" s="35">
        <v>9.5</v>
      </c>
      <c r="L68" s="15" t="s">
        <v>56</v>
      </c>
      <c r="M68" s="35">
        <v>10.8</v>
      </c>
      <c r="N68" s="15" t="s">
        <v>56</v>
      </c>
      <c r="O68" s="35">
        <v>9.5</v>
      </c>
      <c r="P68" s="15" t="s">
        <v>56</v>
      </c>
      <c r="Q68" s="77">
        <v>10.43</v>
      </c>
      <c r="R68" s="89" t="s">
        <v>56</v>
      </c>
      <c r="S68" s="58">
        <v>22.47</v>
      </c>
      <c r="T68" s="15" t="s">
        <v>60</v>
      </c>
      <c r="U68" s="53">
        <v>22.88</v>
      </c>
      <c r="V68" s="15" t="s">
        <v>60</v>
      </c>
      <c r="W68" s="56">
        <v>15.25</v>
      </c>
      <c r="X68" s="15" t="s">
        <v>58</v>
      </c>
      <c r="Y68" s="58">
        <v>31.7</v>
      </c>
      <c r="Z68" s="15" t="s">
        <v>60</v>
      </c>
    </row>
    <row r="69" spans="1:26">
      <c r="A69" s="35">
        <v>8</v>
      </c>
      <c r="B69" s="35"/>
      <c r="C69" s="35"/>
      <c r="D69" s="35"/>
      <c r="E69" s="35"/>
      <c r="F69" s="35">
        <v>12</v>
      </c>
      <c r="G69" s="75" t="s">
        <v>56</v>
      </c>
      <c r="H69" s="35">
        <v>7.5</v>
      </c>
      <c r="J69" s="15" t="s">
        <v>56</v>
      </c>
      <c r="K69" s="35">
        <v>9.6</v>
      </c>
      <c r="L69" s="15" t="s">
        <v>56</v>
      </c>
      <c r="M69" s="35">
        <v>11.1</v>
      </c>
      <c r="N69" s="15" t="s">
        <v>56</v>
      </c>
      <c r="O69" s="35">
        <v>10.5</v>
      </c>
      <c r="P69" s="15" t="s">
        <v>56</v>
      </c>
      <c r="Q69" s="77">
        <v>10.81</v>
      </c>
      <c r="R69" s="89" t="s">
        <v>56</v>
      </c>
      <c r="S69" s="49">
        <v>12.52</v>
      </c>
      <c r="T69" s="15" t="s">
        <v>56</v>
      </c>
      <c r="U69" s="34">
        <v>12.94</v>
      </c>
      <c r="V69" s="15" t="s">
        <v>56</v>
      </c>
      <c r="W69" s="49">
        <v>14.59</v>
      </c>
      <c r="X69" s="15" t="s">
        <v>56</v>
      </c>
      <c r="Y69" s="56">
        <v>19.100000000000001</v>
      </c>
      <c r="Z69" s="15" t="s">
        <v>58</v>
      </c>
    </row>
    <row r="70" spans="1:26">
      <c r="A70" s="35">
        <v>9</v>
      </c>
      <c r="B70" s="35"/>
      <c r="C70" s="35"/>
      <c r="D70" s="35"/>
      <c r="E70" s="35"/>
      <c r="F70" s="35">
        <v>11.6</v>
      </c>
      <c r="G70" s="75" t="s">
        <v>56</v>
      </c>
      <c r="H70" s="35">
        <v>6.4</v>
      </c>
      <c r="J70" s="15" t="s">
        <v>56</v>
      </c>
      <c r="K70" s="35">
        <v>12.3</v>
      </c>
      <c r="L70" s="15" t="s">
        <v>56</v>
      </c>
      <c r="M70" s="35">
        <v>11.9</v>
      </c>
      <c r="N70" s="15" t="s">
        <v>56</v>
      </c>
      <c r="O70" s="35">
        <v>11.4</v>
      </c>
      <c r="P70" s="15" t="s">
        <v>56</v>
      </c>
      <c r="Q70" s="77">
        <v>12.64</v>
      </c>
      <c r="R70" s="89" t="s">
        <v>56</v>
      </c>
      <c r="S70" s="56">
        <v>15.49</v>
      </c>
      <c r="T70" s="15" t="s">
        <v>58</v>
      </c>
      <c r="U70" s="34">
        <v>14.98</v>
      </c>
      <c r="V70" s="15" t="s">
        <v>56</v>
      </c>
      <c r="W70" s="49">
        <v>11.44</v>
      </c>
      <c r="X70" s="15" t="s">
        <v>56</v>
      </c>
      <c r="Y70" s="49">
        <v>14.8</v>
      </c>
      <c r="Z70" s="15" t="s">
        <v>56</v>
      </c>
    </row>
    <row r="71" spans="1:26">
      <c r="A71" s="35">
        <v>10</v>
      </c>
      <c r="B71" s="35"/>
      <c r="C71" s="35"/>
      <c r="D71" s="35"/>
      <c r="E71" s="35"/>
      <c r="F71" s="35">
        <v>11.4</v>
      </c>
      <c r="G71" s="75" t="s">
        <v>56</v>
      </c>
      <c r="H71" s="35">
        <v>5.0999999999999996</v>
      </c>
      <c r="J71" s="15" t="s">
        <v>56</v>
      </c>
      <c r="K71" s="35">
        <v>12.4</v>
      </c>
      <c r="L71" s="15" t="s">
        <v>56</v>
      </c>
      <c r="M71" s="35">
        <v>10.7</v>
      </c>
      <c r="N71" s="15" t="s">
        <v>56</v>
      </c>
      <c r="O71" s="35">
        <v>9.9</v>
      </c>
      <c r="P71" s="15" t="s">
        <v>56</v>
      </c>
      <c r="Q71" s="77">
        <v>13.78</v>
      </c>
      <c r="R71" s="89" t="s">
        <v>56</v>
      </c>
      <c r="S71" s="49">
        <v>14.54</v>
      </c>
      <c r="T71" s="15" t="s">
        <v>56</v>
      </c>
      <c r="U71" s="34">
        <v>14.53</v>
      </c>
      <c r="V71" s="15" t="s">
        <v>56</v>
      </c>
      <c r="W71" s="49">
        <v>12.57</v>
      </c>
      <c r="X71" s="15" t="s">
        <v>56</v>
      </c>
      <c r="Y71" s="49">
        <v>14.3</v>
      </c>
      <c r="Z71" s="15" t="s">
        <v>56</v>
      </c>
    </row>
    <row r="72" spans="1:26">
      <c r="A72" s="35">
        <v>11</v>
      </c>
      <c r="B72" s="35"/>
      <c r="C72" s="35"/>
      <c r="D72" s="35"/>
      <c r="E72" s="35"/>
      <c r="F72" s="35">
        <v>10.9</v>
      </c>
      <c r="G72" s="75" t="s">
        <v>56</v>
      </c>
      <c r="H72" s="35">
        <v>6.2</v>
      </c>
      <c r="J72" s="15" t="s">
        <v>56</v>
      </c>
      <c r="K72" s="35">
        <v>11.9</v>
      </c>
      <c r="L72" s="15" t="s">
        <v>56</v>
      </c>
      <c r="M72" s="54">
        <v>15.7</v>
      </c>
      <c r="N72" s="15" t="s">
        <v>58</v>
      </c>
      <c r="O72" s="35">
        <v>10.9</v>
      </c>
      <c r="P72" s="15" t="s">
        <v>56</v>
      </c>
      <c r="Q72" s="77">
        <v>10.66</v>
      </c>
      <c r="R72" s="89" t="s">
        <v>56</v>
      </c>
      <c r="S72" s="56">
        <v>15.89</v>
      </c>
      <c r="T72" s="15" t="s">
        <v>58</v>
      </c>
      <c r="U72" s="52">
        <v>16.12</v>
      </c>
      <c r="V72" s="15" t="s">
        <v>58</v>
      </c>
      <c r="W72" s="49">
        <v>12.74</v>
      </c>
      <c r="X72" s="15" t="s">
        <v>56</v>
      </c>
      <c r="Y72" s="58">
        <v>20.100000000000001</v>
      </c>
      <c r="Z72" s="15" t="s">
        <v>60</v>
      </c>
    </row>
    <row r="73" spans="1:26">
      <c r="A73" s="35">
        <v>12</v>
      </c>
      <c r="B73" s="35"/>
      <c r="C73" s="35"/>
      <c r="D73" s="35"/>
      <c r="E73" s="35"/>
      <c r="F73" s="35">
        <v>11</v>
      </c>
      <c r="G73" s="75" t="s">
        <v>56</v>
      </c>
      <c r="H73" s="35">
        <v>6.1</v>
      </c>
      <c r="J73" s="15" t="s">
        <v>56</v>
      </c>
      <c r="K73" s="35">
        <v>11.6</v>
      </c>
      <c r="L73" s="15" t="s">
        <v>56</v>
      </c>
      <c r="M73" s="35">
        <v>11.9</v>
      </c>
      <c r="N73" s="15" t="s">
        <v>56</v>
      </c>
      <c r="O73" s="35">
        <v>12.3</v>
      </c>
      <c r="P73" s="15" t="s">
        <v>56</v>
      </c>
      <c r="Q73" s="77">
        <v>12.46</v>
      </c>
      <c r="R73" s="89" t="s">
        <v>56</v>
      </c>
      <c r="S73" s="56">
        <v>16.41</v>
      </c>
      <c r="T73" s="15" t="s">
        <v>58</v>
      </c>
      <c r="U73" s="52">
        <v>16.91</v>
      </c>
      <c r="V73" s="15" t="s">
        <v>58</v>
      </c>
      <c r="W73" s="49">
        <v>11.29</v>
      </c>
      <c r="X73" s="15" t="s">
        <v>56</v>
      </c>
      <c r="Y73" s="56">
        <v>17.3</v>
      </c>
      <c r="Z73" s="15" t="s">
        <v>58</v>
      </c>
    </row>
    <row r="74" spans="1:26">
      <c r="A74" s="35">
        <v>13</v>
      </c>
      <c r="B74" s="35"/>
      <c r="C74" s="35"/>
      <c r="D74" s="35"/>
      <c r="E74" s="35"/>
      <c r="F74" s="35">
        <v>12.4</v>
      </c>
      <c r="G74" s="75" t="s">
        <v>56</v>
      </c>
      <c r="H74" s="35">
        <v>6.4</v>
      </c>
      <c r="J74" s="15" t="s">
        <v>56</v>
      </c>
      <c r="K74" s="35">
        <v>11.8</v>
      </c>
      <c r="L74" s="15" t="s">
        <v>56</v>
      </c>
      <c r="M74" s="35">
        <v>11.9</v>
      </c>
      <c r="N74" s="15" t="s">
        <v>56</v>
      </c>
      <c r="O74" s="35">
        <v>10.5</v>
      </c>
      <c r="P74" s="15" t="s">
        <v>56</v>
      </c>
      <c r="Q74" s="77">
        <v>11.9</v>
      </c>
      <c r="R74" s="89" t="s">
        <v>56</v>
      </c>
      <c r="S74" s="49">
        <v>14.77</v>
      </c>
      <c r="T74" s="15" t="s">
        <v>56</v>
      </c>
      <c r="U74" s="52">
        <v>15.03</v>
      </c>
      <c r="V74" s="15" t="s">
        <v>58</v>
      </c>
      <c r="W74" s="49">
        <v>13.29</v>
      </c>
      <c r="X74" s="15" t="s">
        <v>56</v>
      </c>
      <c r="Y74" s="49">
        <v>13.7</v>
      </c>
      <c r="Z74" s="15" t="s">
        <v>56</v>
      </c>
    </row>
    <row r="75" spans="1:26">
      <c r="A75" s="35">
        <v>14</v>
      </c>
      <c r="B75" s="35"/>
      <c r="C75" s="35"/>
      <c r="D75" s="35"/>
      <c r="E75" s="35"/>
      <c r="F75" s="35">
        <v>12.2</v>
      </c>
      <c r="G75" s="75" t="s">
        <v>56</v>
      </c>
      <c r="H75" s="35">
        <v>6.9</v>
      </c>
      <c r="J75" s="15" t="s">
        <v>56</v>
      </c>
      <c r="K75" s="35">
        <v>10.6</v>
      </c>
      <c r="L75" s="15" t="s">
        <v>56</v>
      </c>
      <c r="M75" s="35">
        <v>10.6</v>
      </c>
      <c r="N75" s="15" t="s">
        <v>56</v>
      </c>
      <c r="O75" s="35">
        <v>10</v>
      </c>
      <c r="P75" s="15" t="s">
        <v>56</v>
      </c>
      <c r="Q75" s="77">
        <v>11.53</v>
      </c>
      <c r="R75" s="89" t="s">
        <v>56</v>
      </c>
      <c r="S75" s="56">
        <v>16.53</v>
      </c>
      <c r="T75" s="15" t="s">
        <v>58</v>
      </c>
      <c r="U75" s="52">
        <v>17.100000000000001</v>
      </c>
      <c r="V75" s="15" t="s">
        <v>58</v>
      </c>
      <c r="W75" s="49">
        <v>11.97</v>
      </c>
      <c r="X75" s="15" t="s">
        <v>56</v>
      </c>
      <c r="Y75" s="49">
        <v>13.7</v>
      </c>
      <c r="Z75" s="15" t="s">
        <v>56</v>
      </c>
    </row>
    <row r="76" spans="1:26">
      <c r="A76" s="35">
        <v>15</v>
      </c>
      <c r="B76" s="35"/>
      <c r="C76" s="35"/>
      <c r="D76" s="35"/>
      <c r="E76" s="35"/>
      <c r="F76" s="35">
        <v>11.4</v>
      </c>
      <c r="G76" s="75" t="s">
        <v>56</v>
      </c>
      <c r="H76" s="35">
        <v>5.9</v>
      </c>
      <c r="J76" s="15" t="s">
        <v>56</v>
      </c>
      <c r="K76" s="35">
        <v>9.6999999999999993</v>
      </c>
      <c r="L76" s="15" t="s">
        <v>56</v>
      </c>
      <c r="M76" s="35">
        <v>10.8</v>
      </c>
      <c r="N76" s="15" t="s">
        <v>56</v>
      </c>
      <c r="O76" s="35">
        <v>10.7</v>
      </c>
      <c r="P76" s="15" t="s">
        <v>56</v>
      </c>
      <c r="Q76" s="77">
        <v>10.050000000000001</v>
      </c>
      <c r="R76" s="89" t="s">
        <v>56</v>
      </c>
      <c r="S76" s="56">
        <v>19.440000000000001</v>
      </c>
      <c r="T76" s="15" t="s">
        <v>58</v>
      </c>
      <c r="U76" s="53">
        <v>20.05</v>
      </c>
      <c r="V76" s="15" t="s">
        <v>60</v>
      </c>
      <c r="W76" s="49">
        <v>13.03</v>
      </c>
      <c r="X76" s="15" t="s">
        <v>56</v>
      </c>
      <c r="Y76" s="49">
        <v>14.7</v>
      </c>
      <c r="Z76" s="15" t="s">
        <v>56</v>
      </c>
    </row>
    <row r="77" spans="1:26">
      <c r="A77" s="35">
        <v>16</v>
      </c>
      <c r="B77" s="35"/>
      <c r="C77" s="35"/>
      <c r="D77" s="35"/>
      <c r="E77" s="35"/>
      <c r="F77" s="35">
        <v>10.9</v>
      </c>
      <c r="G77" s="75" t="s">
        <v>56</v>
      </c>
      <c r="K77" s="35">
        <v>10.5</v>
      </c>
      <c r="L77" s="15" t="s">
        <v>56</v>
      </c>
      <c r="M77" s="35">
        <v>11.6</v>
      </c>
      <c r="N77" s="15" t="s">
        <v>56</v>
      </c>
      <c r="O77" s="35">
        <v>10.3</v>
      </c>
      <c r="P77" s="15" t="s">
        <v>56</v>
      </c>
      <c r="Q77" s="77">
        <v>11.08</v>
      </c>
      <c r="R77" s="89" t="s">
        <v>56</v>
      </c>
      <c r="S77" s="56">
        <v>16.66</v>
      </c>
      <c r="T77" s="15" t="s">
        <v>58</v>
      </c>
      <c r="U77" s="52">
        <v>18.36</v>
      </c>
      <c r="V77" s="15" t="s">
        <v>58</v>
      </c>
      <c r="W77" s="49">
        <v>11.49</v>
      </c>
      <c r="X77" s="15" t="s">
        <v>56</v>
      </c>
      <c r="Y77" s="49">
        <v>12.9</v>
      </c>
      <c r="Z77" s="15" t="s">
        <v>56</v>
      </c>
    </row>
    <row r="78" spans="1:26">
      <c r="A78" s="35">
        <v>17</v>
      </c>
      <c r="B78" s="35"/>
      <c r="C78" s="35"/>
      <c r="D78" s="35"/>
      <c r="E78" s="35"/>
      <c r="F78" s="35">
        <v>12.8</v>
      </c>
      <c r="G78" s="75" t="s">
        <v>56</v>
      </c>
      <c r="K78" s="35">
        <v>9.6</v>
      </c>
      <c r="L78" s="15" t="s">
        <v>56</v>
      </c>
      <c r="M78" s="35">
        <v>10.3</v>
      </c>
      <c r="N78" s="15" t="s">
        <v>56</v>
      </c>
      <c r="O78" s="35">
        <v>9.8000000000000007</v>
      </c>
      <c r="P78" s="15" t="s">
        <v>56</v>
      </c>
      <c r="Q78" s="77">
        <v>9.56</v>
      </c>
      <c r="R78" s="89" t="s">
        <v>56</v>
      </c>
      <c r="S78" s="49">
        <v>11.57</v>
      </c>
      <c r="T78" s="15" t="s">
        <v>56</v>
      </c>
      <c r="U78" s="34">
        <v>11.18</v>
      </c>
      <c r="V78" s="15" t="s">
        <v>56</v>
      </c>
      <c r="W78" s="56">
        <v>19.32</v>
      </c>
      <c r="X78" s="15" t="s">
        <v>58</v>
      </c>
      <c r="Y78" s="56">
        <v>17</v>
      </c>
      <c r="Z78" s="15" t="s">
        <v>58</v>
      </c>
    </row>
    <row r="79" spans="1:26">
      <c r="A79" s="35">
        <v>18</v>
      </c>
      <c r="B79" s="35"/>
      <c r="C79" s="35"/>
      <c r="D79" s="35"/>
      <c r="E79" s="35"/>
      <c r="F79" s="35">
        <v>12.1</v>
      </c>
      <c r="G79" s="75" t="s">
        <v>56</v>
      </c>
      <c r="K79" s="35">
        <v>9.8000000000000007</v>
      </c>
      <c r="L79" s="15" t="s">
        <v>56</v>
      </c>
      <c r="M79" s="35">
        <v>10.5</v>
      </c>
      <c r="N79" s="15" t="s">
        <v>56</v>
      </c>
      <c r="O79" s="35">
        <v>9.5</v>
      </c>
      <c r="P79" s="15" t="s">
        <v>56</v>
      </c>
      <c r="Q79" s="77">
        <v>9.6999999999999993</v>
      </c>
      <c r="R79" s="89" t="s">
        <v>56</v>
      </c>
      <c r="S79" s="49">
        <v>13.57</v>
      </c>
      <c r="T79" s="15" t="s">
        <v>56</v>
      </c>
      <c r="U79" s="34">
        <v>13.66</v>
      </c>
      <c r="V79" s="15" t="s">
        <v>56</v>
      </c>
      <c r="W79" s="56">
        <v>15.64</v>
      </c>
      <c r="X79" s="15" t="s">
        <v>58</v>
      </c>
      <c r="Y79" s="56">
        <v>16.100000000000001</v>
      </c>
      <c r="Z79" s="15" t="s">
        <v>58</v>
      </c>
    </row>
    <row r="80" spans="1:26">
      <c r="A80" s="35">
        <v>19</v>
      </c>
      <c r="B80" s="35"/>
      <c r="C80" s="35"/>
      <c r="D80" s="35"/>
      <c r="E80" s="35"/>
      <c r="F80" s="35">
        <v>12.8</v>
      </c>
      <c r="G80" s="75" t="s">
        <v>56</v>
      </c>
      <c r="K80" s="35">
        <v>9.9</v>
      </c>
      <c r="L80" s="15" t="s">
        <v>56</v>
      </c>
      <c r="M80" s="35">
        <v>10.4</v>
      </c>
      <c r="N80" s="15" t="s">
        <v>56</v>
      </c>
      <c r="O80" s="35">
        <v>10</v>
      </c>
      <c r="P80" s="15" t="s">
        <v>56</v>
      </c>
      <c r="Q80" s="77">
        <v>9.66</v>
      </c>
      <c r="R80" s="89" t="s">
        <v>56</v>
      </c>
      <c r="S80" s="49">
        <v>13.61</v>
      </c>
      <c r="T80" s="15" t="s">
        <v>56</v>
      </c>
      <c r="U80" s="34">
        <v>13.68</v>
      </c>
      <c r="V80" s="15" t="s">
        <v>56</v>
      </c>
      <c r="W80" s="58">
        <v>21.9</v>
      </c>
      <c r="X80" s="15" t="s">
        <v>60</v>
      </c>
      <c r="Y80" s="49">
        <v>14.5</v>
      </c>
      <c r="Z80" s="15" t="s">
        <v>56</v>
      </c>
    </row>
    <row r="81" spans="1:26">
      <c r="A81" s="35">
        <v>20</v>
      </c>
      <c r="B81" s="35"/>
      <c r="C81" s="35"/>
      <c r="D81" s="35"/>
      <c r="E81" s="35"/>
      <c r="F81" s="35">
        <v>11.6</v>
      </c>
      <c r="G81" s="75" t="s">
        <v>56</v>
      </c>
      <c r="K81" s="35">
        <v>9.1</v>
      </c>
      <c r="L81" s="15" t="s">
        <v>56</v>
      </c>
      <c r="M81" s="35">
        <v>10.9</v>
      </c>
      <c r="N81" s="15" t="s">
        <v>56</v>
      </c>
      <c r="O81" s="35">
        <v>9.1999999999999993</v>
      </c>
      <c r="P81" s="15" t="s">
        <v>56</v>
      </c>
      <c r="Q81" s="77">
        <v>8.9499999999999993</v>
      </c>
      <c r="R81" s="89" t="s">
        <v>56</v>
      </c>
      <c r="S81" s="49">
        <v>12.29</v>
      </c>
      <c r="T81" s="15" t="s">
        <v>56</v>
      </c>
      <c r="U81" s="34">
        <v>13.4</v>
      </c>
      <c r="V81" s="15" t="s">
        <v>56</v>
      </c>
      <c r="W81" s="49">
        <v>13.75</v>
      </c>
      <c r="X81" s="15" t="s">
        <v>56</v>
      </c>
      <c r="Y81" s="49">
        <v>14.7</v>
      </c>
      <c r="Z81" s="15" t="s">
        <v>56</v>
      </c>
    </row>
    <row r="82" spans="1:26">
      <c r="A82" s="35">
        <v>21</v>
      </c>
      <c r="B82" s="35"/>
      <c r="C82" s="35"/>
      <c r="D82" s="35"/>
      <c r="E82" s="35"/>
      <c r="F82" s="35">
        <v>11.8</v>
      </c>
      <c r="G82" s="75" t="s">
        <v>56</v>
      </c>
      <c r="K82" s="35">
        <v>9.4</v>
      </c>
      <c r="L82" s="15" t="s">
        <v>56</v>
      </c>
      <c r="M82" s="35">
        <v>10.6</v>
      </c>
      <c r="N82" s="15" t="s">
        <v>56</v>
      </c>
      <c r="O82" s="35">
        <v>9.5</v>
      </c>
      <c r="P82" s="15" t="s">
        <v>56</v>
      </c>
      <c r="Q82" s="77">
        <v>10.34</v>
      </c>
      <c r="R82" s="89" t="s">
        <v>56</v>
      </c>
      <c r="S82" s="49">
        <v>11.46</v>
      </c>
      <c r="T82" s="15" t="s">
        <v>56</v>
      </c>
      <c r="U82" s="34">
        <v>11.6</v>
      </c>
      <c r="V82" s="15" t="s">
        <v>56</v>
      </c>
      <c r="W82" s="56">
        <v>17.04</v>
      </c>
      <c r="X82" s="15" t="s">
        <v>58</v>
      </c>
      <c r="Y82" s="56">
        <v>18</v>
      </c>
      <c r="Z82" s="15" t="s">
        <v>58</v>
      </c>
    </row>
    <row r="83" spans="1:26">
      <c r="A83" s="35">
        <v>22</v>
      </c>
      <c r="B83" s="35"/>
      <c r="C83" s="35"/>
      <c r="D83" s="35"/>
      <c r="E83" s="35"/>
      <c r="F83" s="35">
        <v>11.6</v>
      </c>
      <c r="G83" s="75" t="s">
        <v>56</v>
      </c>
      <c r="K83" s="35">
        <v>9.1</v>
      </c>
      <c r="L83" s="15" t="s">
        <v>56</v>
      </c>
      <c r="M83" s="35">
        <v>11.6</v>
      </c>
      <c r="N83" s="15" t="s">
        <v>56</v>
      </c>
      <c r="O83" s="35">
        <v>9.6999999999999993</v>
      </c>
      <c r="P83" s="15" t="s">
        <v>56</v>
      </c>
      <c r="Q83" s="77">
        <v>11.64</v>
      </c>
      <c r="R83" s="89" t="s">
        <v>56</v>
      </c>
      <c r="S83" s="49">
        <v>12.03</v>
      </c>
      <c r="T83" s="15" t="s">
        <v>56</v>
      </c>
      <c r="U83" s="34">
        <v>12.57</v>
      </c>
      <c r="V83" s="15" t="s">
        <v>56</v>
      </c>
      <c r="W83" s="56">
        <v>15.05</v>
      </c>
      <c r="X83" s="15" t="s">
        <v>58</v>
      </c>
      <c r="Y83" s="49">
        <v>12.9</v>
      </c>
      <c r="Z83" s="15" t="s">
        <v>56</v>
      </c>
    </row>
    <row r="84" spans="1:26">
      <c r="A84" s="35">
        <v>23</v>
      </c>
      <c r="B84" s="35"/>
      <c r="C84" s="35"/>
      <c r="D84" s="35"/>
      <c r="E84" s="35"/>
      <c r="F84" s="35">
        <v>10.7</v>
      </c>
      <c r="G84" s="75" t="s">
        <v>56</v>
      </c>
      <c r="K84" s="35">
        <v>9.3000000000000007</v>
      </c>
      <c r="L84" s="15" t="s">
        <v>56</v>
      </c>
      <c r="M84" s="35">
        <v>11.7</v>
      </c>
      <c r="N84" s="15" t="s">
        <v>56</v>
      </c>
      <c r="O84" s="35">
        <v>9.4</v>
      </c>
      <c r="P84" s="15" t="s">
        <v>56</v>
      </c>
      <c r="Q84" s="77">
        <v>10.62</v>
      </c>
      <c r="R84" s="89" t="s">
        <v>56</v>
      </c>
      <c r="S84" s="49">
        <v>11.46</v>
      </c>
      <c r="T84" s="15" t="s">
        <v>56</v>
      </c>
      <c r="U84" s="34">
        <v>11.73</v>
      </c>
      <c r="V84" s="15" t="s">
        <v>56</v>
      </c>
      <c r="W84" s="56">
        <v>15.96</v>
      </c>
      <c r="X84" s="15" t="s">
        <v>58</v>
      </c>
      <c r="Y84" s="49">
        <v>10.9</v>
      </c>
      <c r="Z84" s="15" t="s">
        <v>56</v>
      </c>
    </row>
    <row r="85" spans="1:26">
      <c r="A85" s="35">
        <v>24</v>
      </c>
      <c r="B85" s="35"/>
      <c r="C85" s="35"/>
      <c r="D85" s="35"/>
      <c r="E85" s="35"/>
      <c r="F85" s="35">
        <v>9.8000000000000007</v>
      </c>
      <c r="G85" s="75" t="s">
        <v>56</v>
      </c>
      <c r="K85" s="35">
        <v>8.8000000000000007</v>
      </c>
      <c r="L85" s="15" t="s">
        <v>56</v>
      </c>
      <c r="M85" s="35">
        <v>11.2</v>
      </c>
      <c r="N85" s="15" t="s">
        <v>56</v>
      </c>
      <c r="O85" s="35">
        <v>9.5</v>
      </c>
      <c r="P85" s="15" t="s">
        <v>56</v>
      </c>
      <c r="Q85" s="77">
        <v>9.2899999999999991</v>
      </c>
      <c r="R85" s="89" t="s">
        <v>56</v>
      </c>
      <c r="S85" s="49">
        <v>12.76</v>
      </c>
      <c r="T85" s="15" t="s">
        <v>56</v>
      </c>
      <c r="U85" s="34">
        <v>13.03</v>
      </c>
      <c r="V85" s="15" t="s">
        <v>56</v>
      </c>
      <c r="W85" s="56">
        <v>16.12</v>
      </c>
      <c r="X85" s="15" t="s">
        <v>58</v>
      </c>
      <c r="Y85" s="56">
        <v>17.100000000000001</v>
      </c>
      <c r="Z85" s="15" t="s">
        <v>58</v>
      </c>
    </row>
    <row r="86" spans="1:26">
      <c r="A86" s="35">
        <v>25</v>
      </c>
      <c r="B86" s="35"/>
      <c r="C86" s="35"/>
      <c r="D86" s="35"/>
      <c r="E86" s="35"/>
      <c r="F86" s="35">
        <v>10.3</v>
      </c>
      <c r="G86" s="75" t="s">
        <v>56</v>
      </c>
      <c r="K86" s="35">
        <v>11.1</v>
      </c>
      <c r="L86" s="15" t="s">
        <v>56</v>
      </c>
      <c r="M86" s="35">
        <v>11.6</v>
      </c>
      <c r="N86" s="15" t="s">
        <v>56</v>
      </c>
      <c r="O86" s="35">
        <v>10.5</v>
      </c>
      <c r="P86" s="15" t="s">
        <v>56</v>
      </c>
      <c r="Q86" s="77">
        <v>10.42</v>
      </c>
      <c r="R86" s="89" t="s">
        <v>56</v>
      </c>
      <c r="S86" s="49">
        <v>12.18</v>
      </c>
      <c r="T86" s="15" t="s">
        <v>56</v>
      </c>
      <c r="U86" s="34">
        <v>11.45</v>
      </c>
      <c r="V86" s="15" t="s">
        <v>56</v>
      </c>
      <c r="W86" s="56">
        <v>18.02</v>
      </c>
      <c r="X86" s="15" t="s">
        <v>58</v>
      </c>
      <c r="Y86" s="49">
        <v>13.6</v>
      </c>
      <c r="Z86" s="15" t="s">
        <v>56</v>
      </c>
    </row>
    <row r="87" spans="1:26">
      <c r="A87" s="35">
        <v>26</v>
      </c>
      <c r="B87" s="35"/>
      <c r="C87" s="35"/>
      <c r="D87" s="35"/>
      <c r="E87" s="35"/>
      <c r="F87" s="35">
        <v>9.8000000000000007</v>
      </c>
      <c r="G87" s="75" t="s">
        <v>56</v>
      </c>
      <c r="K87" s="35">
        <v>8.6999999999999993</v>
      </c>
      <c r="L87" s="15" t="s">
        <v>56</v>
      </c>
      <c r="M87" s="35">
        <v>11.1</v>
      </c>
      <c r="N87" s="15" t="s">
        <v>56</v>
      </c>
      <c r="O87" s="35">
        <v>9.9</v>
      </c>
      <c r="P87" s="15" t="s">
        <v>56</v>
      </c>
      <c r="Q87" s="77">
        <v>9.66</v>
      </c>
      <c r="R87" s="89" t="s">
        <v>56</v>
      </c>
      <c r="S87" s="49">
        <v>13.14</v>
      </c>
      <c r="T87" s="15" t="s">
        <v>56</v>
      </c>
      <c r="U87" s="34">
        <v>13.42</v>
      </c>
      <c r="V87" s="15" t="s">
        <v>56</v>
      </c>
      <c r="W87" s="49">
        <v>13.39</v>
      </c>
      <c r="X87" s="15" t="s">
        <v>56</v>
      </c>
      <c r="Y87" s="49">
        <v>13.2</v>
      </c>
      <c r="Z87" s="15" t="s">
        <v>56</v>
      </c>
    </row>
    <row r="88" spans="1:26">
      <c r="A88" s="35">
        <v>27</v>
      </c>
      <c r="B88" s="35"/>
      <c r="C88" s="35"/>
      <c r="D88" s="35"/>
      <c r="E88" s="35"/>
      <c r="F88" s="35">
        <v>11.1</v>
      </c>
      <c r="G88" s="75" t="s">
        <v>56</v>
      </c>
      <c r="K88" s="35">
        <v>9.8000000000000007</v>
      </c>
      <c r="L88" s="15" t="s">
        <v>56</v>
      </c>
      <c r="M88" s="35">
        <v>10.5</v>
      </c>
      <c r="N88" s="15" t="s">
        <v>56</v>
      </c>
      <c r="O88" s="35">
        <v>9.8000000000000007</v>
      </c>
      <c r="P88" s="15" t="s">
        <v>56</v>
      </c>
      <c r="Q88" s="77">
        <v>9.81</v>
      </c>
      <c r="R88" s="89" t="s">
        <v>56</v>
      </c>
      <c r="S88" s="49">
        <v>9.59</v>
      </c>
      <c r="T88" s="15" t="s">
        <v>56</v>
      </c>
      <c r="U88" s="34">
        <v>9.65</v>
      </c>
      <c r="V88" s="15" t="s">
        <v>56</v>
      </c>
      <c r="W88" s="56">
        <v>15.8</v>
      </c>
      <c r="X88" s="15" t="s">
        <v>58</v>
      </c>
      <c r="Y88" s="49">
        <v>13.2</v>
      </c>
      <c r="Z88" s="15" t="s">
        <v>56</v>
      </c>
    </row>
    <row r="89" spans="1:26">
      <c r="A89" s="35">
        <v>28</v>
      </c>
      <c r="B89" s="35"/>
      <c r="C89" s="35"/>
      <c r="D89" s="35"/>
      <c r="E89" s="35"/>
      <c r="F89" s="35">
        <v>10.8</v>
      </c>
      <c r="G89" s="75" t="s">
        <v>56</v>
      </c>
      <c r="K89" s="35">
        <v>9.5</v>
      </c>
      <c r="L89" s="15" t="s">
        <v>56</v>
      </c>
      <c r="M89" s="35">
        <v>11.1</v>
      </c>
      <c r="N89" s="15" t="s">
        <v>56</v>
      </c>
      <c r="O89" s="35">
        <v>10.8</v>
      </c>
      <c r="P89" s="15" t="s">
        <v>56</v>
      </c>
      <c r="Q89" s="77">
        <v>11.07</v>
      </c>
      <c r="R89" s="89" t="s">
        <v>56</v>
      </c>
      <c r="S89" s="49">
        <v>9.61</v>
      </c>
      <c r="T89" s="15" t="s">
        <v>56</v>
      </c>
      <c r="U89" s="34">
        <v>13.89</v>
      </c>
      <c r="V89" s="15" t="s">
        <v>56</v>
      </c>
      <c r="W89" s="58">
        <v>22.39</v>
      </c>
      <c r="X89" s="15" t="s">
        <v>60</v>
      </c>
      <c r="Y89" s="49">
        <v>13.9</v>
      </c>
      <c r="Z89" s="15" t="s">
        <v>56</v>
      </c>
    </row>
    <row r="90" spans="1:26">
      <c r="A90" s="35">
        <v>29</v>
      </c>
      <c r="B90" s="35"/>
      <c r="C90" s="35"/>
      <c r="D90" s="35"/>
      <c r="E90" s="35"/>
      <c r="F90" s="35">
        <v>9.9</v>
      </c>
      <c r="G90" s="75" t="s">
        <v>56</v>
      </c>
      <c r="K90" s="35">
        <v>9.8000000000000007</v>
      </c>
      <c r="L90" s="15" t="s">
        <v>56</v>
      </c>
      <c r="M90" s="35">
        <v>11</v>
      </c>
      <c r="N90" s="15" t="s">
        <v>56</v>
      </c>
      <c r="O90" s="35">
        <v>11.4</v>
      </c>
      <c r="P90" s="15" t="s">
        <v>56</v>
      </c>
      <c r="Q90" s="77">
        <v>12.51</v>
      </c>
      <c r="R90" s="89" t="s">
        <v>56</v>
      </c>
      <c r="S90" s="49">
        <v>14.3</v>
      </c>
      <c r="T90" s="15" t="s">
        <v>56</v>
      </c>
      <c r="U90" s="34">
        <v>15.2</v>
      </c>
      <c r="V90" s="15" t="s">
        <v>56</v>
      </c>
      <c r="W90" s="49">
        <v>11.07</v>
      </c>
      <c r="X90" s="15" t="s">
        <v>56</v>
      </c>
      <c r="Y90" s="49">
        <v>14.7</v>
      </c>
      <c r="Z90" s="15" t="s">
        <v>56</v>
      </c>
    </row>
    <row r="91" spans="1:26">
      <c r="A91" s="35">
        <v>30</v>
      </c>
      <c r="B91" s="35"/>
      <c r="C91" s="35"/>
      <c r="D91" s="35"/>
      <c r="E91" s="35"/>
      <c r="F91" s="35">
        <v>12.2</v>
      </c>
      <c r="G91" s="75" t="s">
        <v>56</v>
      </c>
      <c r="K91" s="35">
        <v>10.7</v>
      </c>
      <c r="L91" s="15" t="s">
        <v>56</v>
      </c>
      <c r="M91" s="35">
        <v>11.4</v>
      </c>
      <c r="N91" s="15" t="s">
        <v>56</v>
      </c>
      <c r="O91" s="35">
        <v>8.8000000000000007</v>
      </c>
      <c r="P91" s="15" t="s">
        <v>56</v>
      </c>
      <c r="Q91" s="77">
        <v>9.5500000000000007</v>
      </c>
      <c r="R91" s="89" t="s">
        <v>56</v>
      </c>
      <c r="S91" s="56">
        <v>15.03</v>
      </c>
      <c r="T91" s="15" t="s">
        <v>107</v>
      </c>
      <c r="U91" s="34">
        <v>12.75</v>
      </c>
      <c r="V91" s="15" t="s">
        <v>56</v>
      </c>
      <c r="W91" s="58">
        <v>9999</v>
      </c>
      <c r="X91" s="15" t="s">
        <v>60</v>
      </c>
      <c r="Y91" s="49">
        <v>14.3</v>
      </c>
      <c r="Z91" s="15" t="s">
        <v>56</v>
      </c>
    </row>
    <row r="92" spans="1:26">
      <c r="A92" s="35">
        <v>31</v>
      </c>
      <c r="B92" s="35"/>
      <c r="C92" s="35"/>
      <c r="D92" s="35"/>
      <c r="E92" s="35"/>
      <c r="F92" s="35">
        <v>10.6</v>
      </c>
      <c r="G92" s="75" t="s">
        <v>56</v>
      </c>
      <c r="K92" s="35">
        <v>9.6</v>
      </c>
      <c r="L92" s="15" t="s">
        <v>56</v>
      </c>
      <c r="M92" s="35">
        <v>9.8000000000000007</v>
      </c>
      <c r="N92" s="15" t="s">
        <v>56</v>
      </c>
      <c r="O92" s="35">
        <v>10.6</v>
      </c>
      <c r="P92" s="15" t="s">
        <v>56</v>
      </c>
      <c r="Q92" s="77">
        <v>10.48</v>
      </c>
      <c r="R92" s="89" t="s">
        <v>56</v>
      </c>
      <c r="S92" s="49">
        <v>11.77</v>
      </c>
      <c r="T92" s="15" t="s">
        <v>56</v>
      </c>
      <c r="U92" s="34">
        <v>12.57</v>
      </c>
      <c r="V92" s="15" t="s">
        <v>56</v>
      </c>
      <c r="W92" s="56">
        <v>16.510000000000002</v>
      </c>
      <c r="X92" s="15" t="s">
        <v>58</v>
      </c>
      <c r="Y92" s="49">
        <v>11.9</v>
      </c>
      <c r="Z92" s="15" t="s">
        <v>56</v>
      </c>
    </row>
    <row r="93" spans="1:26">
      <c r="A93" s="35">
        <v>32</v>
      </c>
      <c r="B93" s="35"/>
      <c r="C93" s="35"/>
      <c r="D93" s="35"/>
      <c r="E93" s="35"/>
      <c r="F93" s="35">
        <v>10.4</v>
      </c>
      <c r="G93" s="75" t="s">
        <v>56</v>
      </c>
      <c r="K93" s="35">
        <v>10.1</v>
      </c>
      <c r="L93" s="15" t="s">
        <v>56</v>
      </c>
      <c r="M93" s="35">
        <v>12.8</v>
      </c>
      <c r="N93" s="15" t="s">
        <v>56</v>
      </c>
      <c r="O93" s="35">
        <v>9.6</v>
      </c>
      <c r="P93" s="15" t="s">
        <v>56</v>
      </c>
      <c r="Q93" s="77">
        <v>9.9600000000000009</v>
      </c>
      <c r="R93" s="89" t="s">
        <v>56</v>
      </c>
      <c r="S93" s="49">
        <v>12.68</v>
      </c>
      <c r="T93" s="15" t="s">
        <v>56</v>
      </c>
      <c r="U93" s="34">
        <v>13.25</v>
      </c>
      <c r="V93" s="15" t="s">
        <v>56</v>
      </c>
      <c r="W93" s="49">
        <v>13.9</v>
      </c>
      <c r="X93" s="15" t="s">
        <v>56</v>
      </c>
      <c r="Y93" s="49">
        <v>12.2</v>
      </c>
      <c r="Z93" s="15" t="s">
        <v>56</v>
      </c>
    </row>
    <row r="94" spans="1:26">
      <c r="S94" s="49">
        <v>12.6</v>
      </c>
      <c r="T94" s="15" t="s">
        <v>56</v>
      </c>
    </row>
    <row r="95" spans="1:26">
      <c r="A95" s="15" t="s">
        <v>178</v>
      </c>
    </row>
    <row r="96" spans="1:26">
      <c r="A96" s="75" t="s">
        <v>172</v>
      </c>
    </row>
    <row r="97" spans="1:20">
      <c r="A97" s="75" t="s">
        <v>173</v>
      </c>
    </row>
    <row r="98" spans="1:20">
      <c r="A98" s="75" t="s">
        <v>129</v>
      </c>
      <c r="B98" s="73">
        <v>43468</v>
      </c>
      <c r="C98" s="15" t="s">
        <v>160</v>
      </c>
      <c r="D98" s="15" t="s">
        <v>161</v>
      </c>
      <c r="E98" s="15" t="s">
        <v>162</v>
      </c>
      <c r="F98" s="15" t="s">
        <v>163</v>
      </c>
      <c r="G98" s="15" t="s">
        <v>164</v>
      </c>
      <c r="K98" s="51" t="s">
        <v>6</v>
      </c>
      <c r="L98" s="51" t="s">
        <v>92</v>
      </c>
      <c r="M98" s="15" t="s">
        <v>7</v>
      </c>
      <c r="N98" s="15" t="s">
        <v>93</v>
      </c>
      <c r="O98" s="15" t="s">
        <v>179</v>
      </c>
      <c r="P98" s="15" t="s">
        <v>180</v>
      </c>
      <c r="Q98" s="31">
        <v>43892</v>
      </c>
      <c r="S98" s="31">
        <v>44442</v>
      </c>
      <c r="T98" s="15" t="s">
        <v>101</v>
      </c>
    </row>
    <row r="99" spans="1:20">
      <c r="A99" s="15">
        <v>1</v>
      </c>
      <c r="O99" s="91">
        <v>5.51</v>
      </c>
      <c r="P99" s="92" t="s">
        <v>56</v>
      </c>
      <c r="S99" s="49">
        <v>4.5999999999999996</v>
      </c>
      <c r="T99" s="15" t="s">
        <v>56</v>
      </c>
    </row>
    <row r="100" spans="1:20">
      <c r="A100" s="15">
        <v>2</v>
      </c>
      <c r="O100" s="91">
        <v>9.49</v>
      </c>
      <c r="P100" s="92" t="s">
        <v>56</v>
      </c>
      <c r="S100" s="49">
        <v>4.5999999999999996</v>
      </c>
      <c r="T100" s="15" t="s">
        <v>56</v>
      </c>
    </row>
    <row r="101" spans="1:20">
      <c r="A101" s="15">
        <v>3</v>
      </c>
      <c r="O101" s="91">
        <v>4.79</v>
      </c>
      <c r="P101" s="92" t="s">
        <v>56</v>
      </c>
      <c r="S101" s="49">
        <v>5</v>
      </c>
      <c r="T101" s="15" t="s">
        <v>56</v>
      </c>
    </row>
    <row r="102" spans="1:20">
      <c r="A102" s="15">
        <v>4</v>
      </c>
      <c r="O102" s="91">
        <v>7.7</v>
      </c>
      <c r="P102" s="92" t="s">
        <v>56</v>
      </c>
      <c r="S102" s="49">
        <v>6.4</v>
      </c>
      <c r="T102" s="15" t="s">
        <v>56</v>
      </c>
    </row>
    <row r="103" spans="1:20">
      <c r="A103" s="15">
        <v>5</v>
      </c>
      <c r="O103" s="91">
        <v>6.61</v>
      </c>
      <c r="P103" s="92" t="s">
        <v>56</v>
      </c>
      <c r="S103" s="49">
        <v>4.7</v>
      </c>
      <c r="T103" s="15" t="s">
        <v>56</v>
      </c>
    </row>
    <row r="104" spans="1:20">
      <c r="A104" s="15">
        <v>6</v>
      </c>
      <c r="O104" s="91">
        <v>7.93</v>
      </c>
      <c r="P104" s="92" t="s">
        <v>56</v>
      </c>
      <c r="S104" s="49">
        <v>6.3</v>
      </c>
      <c r="T104" s="15" t="s">
        <v>56</v>
      </c>
    </row>
    <row r="105" spans="1:20">
      <c r="A105" s="15">
        <v>7</v>
      </c>
      <c r="O105" s="93">
        <v>12.66</v>
      </c>
      <c r="P105" s="92" t="s">
        <v>58</v>
      </c>
      <c r="Q105" s="51" t="s">
        <v>124</v>
      </c>
      <c r="S105" s="49">
        <v>6</v>
      </c>
      <c r="T105" s="15" t="s">
        <v>56</v>
      </c>
    </row>
    <row r="106" spans="1:20">
      <c r="A106" s="15">
        <v>8</v>
      </c>
      <c r="O106" s="93">
        <v>11.93</v>
      </c>
      <c r="P106" s="92" t="s">
        <v>58</v>
      </c>
      <c r="Q106" s="51" t="s">
        <v>124</v>
      </c>
      <c r="S106" s="49">
        <v>6.8</v>
      </c>
      <c r="T106" s="15" t="s">
        <v>56</v>
      </c>
    </row>
    <row r="107" spans="1:20">
      <c r="A107" s="15">
        <v>9</v>
      </c>
      <c r="O107" s="94">
        <v>9999</v>
      </c>
      <c r="P107" s="92" t="s">
        <v>60</v>
      </c>
      <c r="Q107" s="51" t="s">
        <v>124</v>
      </c>
      <c r="S107" s="49">
        <v>3.9</v>
      </c>
      <c r="T107" s="15" t="s">
        <v>56</v>
      </c>
    </row>
    <row r="108" spans="1:20">
      <c r="A108" s="15">
        <v>10</v>
      </c>
      <c r="O108" s="94">
        <v>9999</v>
      </c>
      <c r="P108" s="92" t="s">
        <v>60</v>
      </c>
      <c r="Q108" s="51" t="s">
        <v>124</v>
      </c>
      <c r="S108" s="49">
        <v>4.2</v>
      </c>
      <c r="T108" s="15" t="s">
        <v>56</v>
      </c>
    </row>
    <row r="109" spans="1:20">
      <c r="A109" s="15">
        <v>11</v>
      </c>
      <c r="O109" s="91">
        <v>4.7699999999999996</v>
      </c>
      <c r="P109" s="92" t="s">
        <v>56</v>
      </c>
      <c r="S109" s="49">
        <v>4</v>
      </c>
      <c r="T109" s="15" t="s">
        <v>56</v>
      </c>
    </row>
    <row r="110" spans="1:20">
      <c r="A110" s="15">
        <v>12</v>
      </c>
      <c r="O110" s="91">
        <v>5.66</v>
      </c>
      <c r="P110" s="92" t="s">
        <v>56</v>
      </c>
      <c r="S110" s="49">
        <v>5</v>
      </c>
      <c r="T110" s="15" t="s">
        <v>56</v>
      </c>
    </row>
    <row r="111" spans="1:20">
      <c r="A111" s="15">
        <v>13</v>
      </c>
      <c r="O111" s="91">
        <v>5.47</v>
      </c>
      <c r="P111" s="92" t="s">
        <v>56</v>
      </c>
      <c r="S111" s="49">
        <v>4.7</v>
      </c>
      <c r="T111" s="15" t="s">
        <v>56</v>
      </c>
    </row>
    <row r="112" spans="1:20">
      <c r="A112" s="15">
        <v>14</v>
      </c>
    </row>
    <row r="113" spans="1:24">
      <c r="A113" s="15">
        <v>15</v>
      </c>
    </row>
    <row r="114" spans="1:24">
      <c r="A114" s="51">
        <v>16</v>
      </c>
    </row>
    <row r="116" spans="1:24">
      <c r="A116" s="15" t="s">
        <v>48</v>
      </c>
    </row>
    <row r="117" spans="1:24">
      <c r="A117" s="75" t="s">
        <v>172</v>
      </c>
      <c r="B117" s="15" t="s">
        <v>167</v>
      </c>
    </row>
    <row r="118" spans="1:24">
      <c r="A118" s="75" t="s">
        <v>173</v>
      </c>
      <c r="B118" s="15" t="s">
        <v>181</v>
      </c>
    </row>
    <row r="119" spans="1:24">
      <c r="A119" s="75" t="s">
        <v>129</v>
      </c>
      <c r="B119" s="73">
        <v>43468</v>
      </c>
      <c r="C119" s="15" t="s">
        <v>160</v>
      </c>
      <c r="D119" s="15" t="s">
        <v>161</v>
      </c>
      <c r="E119" s="15" t="s">
        <v>162</v>
      </c>
      <c r="F119" s="15" t="s">
        <v>163</v>
      </c>
      <c r="G119" s="15" t="s">
        <v>164</v>
      </c>
      <c r="I119" s="15" t="s">
        <v>90</v>
      </c>
      <c r="J119" s="15" t="s">
        <v>91</v>
      </c>
      <c r="K119" s="15" t="s">
        <v>6</v>
      </c>
      <c r="L119" s="15" t="s">
        <v>92</v>
      </c>
      <c r="M119" s="15" t="s">
        <v>7</v>
      </c>
      <c r="N119" s="15" t="s">
        <v>93</v>
      </c>
      <c r="O119" s="15" t="s">
        <v>148</v>
      </c>
      <c r="P119" s="15" t="s">
        <v>149</v>
      </c>
      <c r="Q119" s="31">
        <v>44055</v>
      </c>
      <c r="R119" s="15" t="s">
        <v>176</v>
      </c>
      <c r="S119" s="31">
        <v>44198</v>
      </c>
      <c r="T119" s="15" t="s">
        <v>122</v>
      </c>
      <c r="U119" s="15" t="s">
        <v>123</v>
      </c>
      <c r="W119" s="15" t="s">
        <v>102</v>
      </c>
      <c r="X119" s="15" t="s">
        <v>103</v>
      </c>
    </row>
    <row r="120" spans="1:24">
      <c r="A120" s="35">
        <v>1</v>
      </c>
      <c r="B120" s="35"/>
      <c r="C120" s="35"/>
      <c r="D120" s="35">
        <v>8.3000000000000007</v>
      </c>
      <c r="E120" s="75" t="s">
        <v>56</v>
      </c>
      <c r="F120" s="35">
        <v>10.3</v>
      </c>
      <c r="G120" s="15" t="s">
        <v>56</v>
      </c>
      <c r="I120" s="54">
        <v>12</v>
      </c>
      <c r="J120" s="15" t="s">
        <v>58</v>
      </c>
      <c r="K120" s="54">
        <v>12.1</v>
      </c>
      <c r="L120" s="15" t="s">
        <v>58</v>
      </c>
      <c r="M120" s="35">
        <v>9.6999999999999993</v>
      </c>
      <c r="N120" s="15" t="s">
        <v>56</v>
      </c>
      <c r="O120" s="35">
        <v>9.8000000000000007</v>
      </c>
      <c r="P120" s="15" t="s">
        <v>56</v>
      </c>
      <c r="Q120" s="56">
        <v>14.92</v>
      </c>
      <c r="R120" s="15" t="s">
        <v>58</v>
      </c>
      <c r="S120" s="51" t="s">
        <v>124</v>
      </c>
      <c r="T120" s="95"/>
      <c r="U120" s="15" t="s">
        <v>182</v>
      </c>
      <c r="W120" s="49">
        <v>5.9</v>
      </c>
      <c r="X120" s="15" t="s">
        <v>56</v>
      </c>
    </row>
    <row r="121" spans="1:24">
      <c r="A121" s="35">
        <v>2</v>
      </c>
      <c r="B121" s="35"/>
      <c r="C121" s="35"/>
      <c r="D121" s="35">
        <v>8.8000000000000007</v>
      </c>
      <c r="E121" s="75" t="s">
        <v>56</v>
      </c>
      <c r="F121" s="35">
        <v>9.4</v>
      </c>
      <c r="G121" s="15" t="s">
        <v>56</v>
      </c>
      <c r="I121" s="35">
        <v>11.1</v>
      </c>
      <c r="J121" s="15" t="s">
        <v>56</v>
      </c>
      <c r="K121" s="35">
        <v>9.1999999999999993</v>
      </c>
      <c r="L121" s="15" t="s">
        <v>56</v>
      </c>
      <c r="M121" s="35">
        <v>10.3</v>
      </c>
      <c r="N121" s="15" t="s">
        <v>183</v>
      </c>
      <c r="O121" s="35">
        <v>10.5</v>
      </c>
      <c r="P121" s="15" t="s">
        <v>56</v>
      </c>
      <c r="Q121" s="56">
        <v>15.86</v>
      </c>
      <c r="R121" s="15" t="s">
        <v>58</v>
      </c>
      <c r="S121" s="51" t="s">
        <v>124</v>
      </c>
      <c r="T121" s="34">
        <v>6.12</v>
      </c>
      <c r="U121" s="15" t="s">
        <v>56</v>
      </c>
      <c r="W121" s="49">
        <v>5.9</v>
      </c>
      <c r="X121" s="15" t="s">
        <v>56</v>
      </c>
    </row>
    <row r="122" spans="1:24">
      <c r="A122" s="35">
        <v>3</v>
      </c>
      <c r="B122" s="35"/>
      <c r="C122" s="35"/>
      <c r="D122" s="54">
        <v>12.8</v>
      </c>
      <c r="E122" s="75" t="s">
        <v>58</v>
      </c>
      <c r="F122" s="45">
        <v>20.6</v>
      </c>
      <c r="G122" s="15" t="s">
        <v>60</v>
      </c>
      <c r="I122" s="35">
        <v>10.1</v>
      </c>
      <c r="J122" s="15" t="s">
        <v>56</v>
      </c>
      <c r="K122" s="45">
        <v>21</v>
      </c>
      <c r="L122" s="15" t="s">
        <v>60</v>
      </c>
      <c r="M122" s="45">
        <v>22.7</v>
      </c>
      <c r="N122" s="15" t="s">
        <v>60</v>
      </c>
      <c r="O122" s="45">
        <v>22.3</v>
      </c>
      <c r="P122" s="15" t="s">
        <v>60</v>
      </c>
      <c r="Q122" s="58">
        <v>19.23</v>
      </c>
      <c r="R122" s="15" t="s">
        <v>60</v>
      </c>
      <c r="S122" s="51" t="s">
        <v>124</v>
      </c>
      <c r="T122" s="34">
        <v>6.14</v>
      </c>
      <c r="U122" s="15" t="s">
        <v>56</v>
      </c>
      <c r="W122" s="49">
        <v>6.2</v>
      </c>
      <c r="X122" s="15" t="s">
        <v>56</v>
      </c>
    </row>
    <row r="123" spans="1:24">
      <c r="A123" s="35">
        <v>4</v>
      </c>
      <c r="B123" s="35"/>
      <c r="C123" s="35"/>
      <c r="D123" s="35">
        <v>8.1</v>
      </c>
      <c r="E123" s="75" t="s">
        <v>56</v>
      </c>
      <c r="F123" s="35">
        <v>8.8000000000000007</v>
      </c>
      <c r="G123" s="15" t="s">
        <v>56</v>
      </c>
      <c r="I123" s="35">
        <v>10</v>
      </c>
      <c r="J123" s="15" t="s">
        <v>56</v>
      </c>
      <c r="K123" s="35">
        <v>9.6999999999999993</v>
      </c>
      <c r="L123" s="15" t="s">
        <v>56</v>
      </c>
      <c r="M123" s="35">
        <v>9.4</v>
      </c>
      <c r="N123" s="15" t="s">
        <v>56</v>
      </c>
      <c r="O123" s="35">
        <v>9.6999999999999993</v>
      </c>
      <c r="P123" s="15" t="s">
        <v>56</v>
      </c>
      <c r="Q123" s="56">
        <v>14.31</v>
      </c>
      <c r="R123" s="15" t="s">
        <v>58</v>
      </c>
      <c r="S123" s="51" t="s">
        <v>124</v>
      </c>
      <c r="T123" s="34">
        <v>6.23</v>
      </c>
      <c r="U123" s="15" t="s">
        <v>56</v>
      </c>
      <c r="W123" s="49">
        <v>6.9</v>
      </c>
      <c r="X123" s="15" t="s">
        <v>56</v>
      </c>
    </row>
    <row r="124" spans="1:24">
      <c r="A124" s="35">
        <v>5</v>
      </c>
      <c r="B124" s="35"/>
      <c r="C124" s="35"/>
      <c r="D124" s="35">
        <v>10</v>
      </c>
      <c r="E124" s="75" t="s">
        <v>56</v>
      </c>
      <c r="F124" s="35">
        <v>11.3</v>
      </c>
      <c r="G124" s="15" t="s">
        <v>56</v>
      </c>
      <c r="I124" s="35">
        <v>9.8000000000000007</v>
      </c>
      <c r="J124" s="15" t="s">
        <v>56</v>
      </c>
      <c r="K124" s="35">
        <v>9.1999999999999993</v>
      </c>
      <c r="L124" s="15" t="s">
        <v>56</v>
      </c>
      <c r="M124" s="54">
        <v>12.6</v>
      </c>
      <c r="N124" s="15" t="s">
        <v>58</v>
      </c>
      <c r="O124" s="54">
        <v>12.9</v>
      </c>
      <c r="P124" s="15" t="s">
        <v>58</v>
      </c>
      <c r="Q124" s="58">
        <v>18.02</v>
      </c>
      <c r="R124" s="15" t="s">
        <v>60</v>
      </c>
      <c r="S124" s="51" t="s">
        <v>124</v>
      </c>
      <c r="T124" s="34">
        <v>6.21</v>
      </c>
      <c r="U124" s="15" t="s">
        <v>56</v>
      </c>
      <c r="W124" s="49">
        <v>6.4</v>
      </c>
      <c r="X124" s="15" t="s">
        <v>56</v>
      </c>
    </row>
    <row r="125" spans="1:24">
      <c r="A125" s="35">
        <v>6</v>
      </c>
      <c r="B125" s="35"/>
      <c r="C125" s="35"/>
      <c r="D125" s="35">
        <v>10.5</v>
      </c>
      <c r="E125" s="75" t="s">
        <v>56</v>
      </c>
      <c r="F125" s="54">
        <v>12.1</v>
      </c>
      <c r="G125" s="15" t="s">
        <v>58</v>
      </c>
      <c r="I125" s="35">
        <v>10.6</v>
      </c>
      <c r="J125" s="15" t="s">
        <v>56</v>
      </c>
      <c r="K125" s="35">
        <v>11.2</v>
      </c>
      <c r="L125" s="15" t="s">
        <v>56</v>
      </c>
      <c r="M125" s="35">
        <v>11.7</v>
      </c>
      <c r="N125" s="15" t="s">
        <v>56</v>
      </c>
      <c r="O125" s="54">
        <v>12</v>
      </c>
      <c r="P125" s="15" t="s">
        <v>58</v>
      </c>
      <c r="Q125" s="56">
        <v>14.7</v>
      </c>
      <c r="R125" s="15" t="s">
        <v>58</v>
      </c>
      <c r="S125" s="51" t="s">
        <v>124</v>
      </c>
      <c r="T125" s="34">
        <v>6.39</v>
      </c>
      <c r="U125" s="15" t="s">
        <v>56</v>
      </c>
      <c r="W125" s="49">
        <v>6</v>
      </c>
      <c r="X125" s="15" t="s">
        <v>56</v>
      </c>
    </row>
    <row r="126" spans="1:24">
      <c r="A126" s="35">
        <v>7</v>
      </c>
      <c r="B126" s="35"/>
      <c r="C126" s="35"/>
      <c r="D126" s="35">
        <v>11.4</v>
      </c>
      <c r="E126" s="75" t="s">
        <v>56</v>
      </c>
      <c r="F126" s="35">
        <v>9.3000000000000007</v>
      </c>
      <c r="G126" s="15" t="s">
        <v>56</v>
      </c>
      <c r="I126" s="54">
        <v>12.9</v>
      </c>
      <c r="J126" s="15" t="s">
        <v>58</v>
      </c>
      <c r="K126" s="54">
        <v>13.6</v>
      </c>
      <c r="L126" s="15" t="s">
        <v>58</v>
      </c>
      <c r="M126" s="35">
        <v>9.6999999999999993</v>
      </c>
      <c r="N126" s="15" t="s">
        <v>56</v>
      </c>
      <c r="O126" s="35">
        <v>10</v>
      </c>
      <c r="P126" s="15" t="s">
        <v>56</v>
      </c>
      <c r="Q126" s="56">
        <v>12.86</v>
      </c>
      <c r="R126" s="15" t="s">
        <v>58</v>
      </c>
      <c r="S126" s="51" t="s">
        <v>124</v>
      </c>
      <c r="T126" s="34">
        <v>6.38</v>
      </c>
      <c r="U126" s="15" t="s">
        <v>56</v>
      </c>
      <c r="W126" s="49">
        <v>6</v>
      </c>
      <c r="X126" s="15" t="s">
        <v>56</v>
      </c>
    </row>
    <row r="127" spans="1:24">
      <c r="A127" s="35">
        <v>8</v>
      </c>
      <c r="B127" s="35"/>
      <c r="C127" s="35"/>
      <c r="D127" s="35">
        <v>8.8000000000000007</v>
      </c>
      <c r="E127" s="75" t="s">
        <v>56</v>
      </c>
      <c r="F127" s="35">
        <v>9.3000000000000007</v>
      </c>
      <c r="G127" s="15" t="s">
        <v>56</v>
      </c>
      <c r="I127" s="35">
        <v>11.9</v>
      </c>
      <c r="J127" s="15" t="s">
        <v>56</v>
      </c>
      <c r="K127" s="35">
        <v>9.5</v>
      </c>
      <c r="L127" s="15" t="s">
        <v>56</v>
      </c>
      <c r="M127" s="35">
        <v>9.9</v>
      </c>
      <c r="N127" s="15" t="s">
        <v>56</v>
      </c>
      <c r="O127" s="35">
        <v>10.1</v>
      </c>
      <c r="P127" s="15" t="s">
        <v>56</v>
      </c>
      <c r="Q127" s="56">
        <v>14.3</v>
      </c>
      <c r="R127" s="15" t="s">
        <v>58</v>
      </c>
      <c r="S127" s="51" t="s">
        <v>124</v>
      </c>
      <c r="T127" s="34">
        <v>6.36</v>
      </c>
      <c r="U127" s="15" t="s">
        <v>56</v>
      </c>
      <c r="W127" s="49">
        <v>5.7</v>
      </c>
      <c r="X127" s="15" t="s">
        <v>56</v>
      </c>
    </row>
    <row r="128" spans="1:24">
      <c r="A128" s="35">
        <v>9</v>
      </c>
      <c r="B128" s="35"/>
      <c r="C128" s="35"/>
      <c r="D128" s="35">
        <v>8.6999999999999993</v>
      </c>
      <c r="E128" s="75" t="s">
        <v>56</v>
      </c>
      <c r="F128" s="54">
        <v>13.5</v>
      </c>
      <c r="G128" s="15" t="s">
        <v>58</v>
      </c>
      <c r="I128" s="35">
        <v>11</v>
      </c>
      <c r="J128" s="15" t="s">
        <v>56</v>
      </c>
      <c r="K128" s="35">
        <v>9.4</v>
      </c>
      <c r="L128" s="15" t="s">
        <v>56</v>
      </c>
      <c r="M128" s="54">
        <v>14.8</v>
      </c>
      <c r="N128" s="15" t="s">
        <v>58</v>
      </c>
      <c r="O128" s="54">
        <v>15.6</v>
      </c>
      <c r="P128" s="15" t="s">
        <v>58</v>
      </c>
      <c r="Q128" s="58">
        <v>18.100000000000001</v>
      </c>
      <c r="R128" s="15" t="s">
        <v>60</v>
      </c>
      <c r="S128" s="51" t="s">
        <v>124</v>
      </c>
      <c r="T128" s="34">
        <v>6.24</v>
      </c>
      <c r="U128" s="15" t="s">
        <v>56</v>
      </c>
      <c r="W128" s="49">
        <v>6.4</v>
      </c>
      <c r="X128" s="15" t="s">
        <v>56</v>
      </c>
    </row>
    <row r="129" spans="1:24">
      <c r="A129" s="35">
        <v>10</v>
      </c>
      <c r="B129" s="35"/>
      <c r="C129" s="35"/>
      <c r="D129" s="35">
        <v>9.8000000000000007</v>
      </c>
      <c r="E129" s="75" t="s">
        <v>56</v>
      </c>
      <c r="F129" s="35">
        <v>11.2</v>
      </c>
      <c r="G129" s="15" t="s">
        <v>56</v>
      </c>
      <c r="I129" s="35">
        <v>11.1</v>
      </c>
      <c r="J129" s="15" t="s">
        <v>56</v>
      </c>
      <c r="K129" s="35">
        <v>11.3</v>
      </c>
      <c r="L129" s="15" t="s">
        <v>56</v>
      </c>
      <c r="M129" s="54">
        <v>12</v>
      </c>
      <c r="N129" s="15" t="s">
        <v>58</v>
      </c>
      <c r="O129" s="54">
        <v>12.3</v>
      </c>
      <c r="P129" s="15" t="s">
        <v>58</v>
      </c>
      <c r="Q129" s="58">
        <v>16.64</v>
      </c>
      <c r="R129" s="15" t="s">
        <v>60</v>
      </c>
      <c r="S129" s="51" t="s">
        <v>124</v>
      </c>
      <c r="T129" s="34">
        <v>6.15</v>
      </c>
      <c r="U129" s="15" t="s">
        <v>56</v>
      </c>
      <c r="W129" s="49">
        <v>6.7</v>
      </c>
      <c r="X129" s="15" t="s">
        <v>56</v>
      </c>
    </row>
    <row r="130" spans="1:24">
      <c r="A130" s="35">
        <v>11</v>
      </c>
      <c r="B130" s="35"/>
      <c r="C130" s="35"/>
      <c r="D130" s="35">
        <v>10.4</v>
      </c>
      <c r="E130" s="75" t="s">
        <v>56</v>
      </c>
      <c r="F130" s="54">
        <v>12.5</v>
      </c>
      <c r="G130" s="15" t="s">
        <v>58</v>
      </c>
      <c r="I130" s="35">
        <v>9.4</v>
      </c>
      <c r="J130" s="15" t="s">
        <v>56</v>
      </c>
      <c r="K130" s="54">
        <v>12.9</v>
      </c>
      <c r="L130" s="15" t="s">
        <v>107</v>
      </c>
      <c r="M130" s="54">
        <v>12.7</v>
      </c>
      <c r="N130" s="15" t="s">
        <v>58</v>
      </c>
      <c r="O130" s="54">
        <v>13</v>
      </c>
      <c r="P130" s="15" t="s">
        <v>58</v>
      </c>
      <c r="Q130" s="56">
        <v>15.97</v>
      </c>
      <c r="R130" s="15" t="s">
        <v>58</v>
      </c>
      <c r="S130" s="51" t="s">
        <v>124</v>
      </c>
      <c r="T130" s="34">
        <v>6.11</v>
      </c>
      <c r="U130" s="15" t="s">
        <v>56</v>
      </c>
      <c r="W130" s="49">
        <v>6.6</v>
      </c>
      <c r="X130" s="15" t="s">
        <v>56</v>
      </c>
    </row>
    <row r="131" spans="1:24">
      <c r="A131" s="35">
        <v>12</v>
      </c>
      <c r="B131" s="35"/>
      <c r="C131" s="35"/>
      <c r="D131" s="35">
        <v>10.199999999999999</v>
      </c>
      <c r="E131" s="75" t="s">
        <v>56</v>
      </c>
      <c r="F131" s="35">
        <v>11.9</v>
      </c>
      <c r="G131" s="15" t="s">
        <v>56</v>
      </c>
      <c r="I131" s="35">
        <v>10.4</v>
      </c>
      <c r="J131" s="15" t="s">
        <v>56</v>
      </c>
      <c r="K131" s="35">
        <v>11.4</v>
      </c>
      <c r="L131" s="15" t="s">
        <v>56</v>
      </c>
      <c r="M131" s="35">
        <v>11.5</v>
      </c>
      <c r="N131" s="15" t="s">
        <v>56</v>
      </c>
      <c r="O131" s="35">
        <v>11.9</v>
      </c>
      <c r="P131" s="15" t="s">
        <v>56</v>
      </c>
      <c r="Q131" s="56">
        <v>14.35</v>
      </c>
      <c r="R131" s="15" t="s">
        <v>58</v>
      </c>
      <c r="S131" s="51" t="s">
        <v>124</v>
      </c>
      <c r="T131" s="34">
        <v>6.03</v>
      </c>
      <c r="U131" s="15" t="s">
        <v>56</v>
      </c>
      <c r="W131" s="49">
        <v>6.9</v>
      </c>
      <c r="X131" s="15" t="s">
        <v>56</v>
      </c>
    </row>
    <row r="132" spans="1:24">
      <c r="A132" s="35">
        <v>13</v>
      </c>
      <c r="B132" s="35"/>
      <c r="C132" s="35"/>
      <c r="D132" s="54">
        <v>13.5</v>
      </c>
      <c r="E132" s="75" t="s">
        <v>58</v>
      </c>
      <c r="F132" s="54">
        <v>15.7</v>
      </c>
      <c r="G132" s="15" t="s">
        <v>58</v>
      </c>
      <c r="I132" s="35">
        <v>10.5</v>
      </c>
      <c r="J132" s="15" t="s">
        <v>56</v>
      </c>
      <c r="K132" s="35">
        <v>16</v>
      </c>
      <c r="L132" s="15" t="s">
        <v>56</v>
      </c>
      <c r="M132" s="45">
        <v>18</v>
      </c>
      <c r="N132" s="15" t="s">
        <v>60</v>
      </c>
      <c r="O132" s="45">
        <v>17.7</v>
      </c>
      <c r="P132" s="15" t="s">
        <v>60</v>
      </c>
      <c r="Q132" s="58">
        <v>18.59</v>
      </c>
      <c r="R132" s="15" t="s">
        <v>60</v>
      </c>
      <c r="S132" s="51" t="s">
        <v>124</v>
      </c>
      <c r="T132" s="34">
        <v>6.12</v>
      </c>
      <c r="U132" s="15" t="s">
        <v>56</v>
      </c>
      <c r="W132" s="49">
        <v>6</v>
      </c>
      <c r="X132" s="15" t="s">
        <v>56</v>
      </c>
    </row>
    <row r="133" spans="1:24">
      <c r="A133" s="35">
        <v>14</v>
      </c>
      <c r="B133" s="35"/>
      <c r="C133" s="35"/>
      <c r="D133" s="35">
        <v>9.8000000000000007</v>
      </c>
      <c r="E133" s="75" t="s">
        <v>56</v>
      </c>
      <c r="F133" s="35">
        <v>11</v>
      </c>
      <c r="G133" s="15" t="s">
        <v>56</v>
      </c>
      <c r="I133" s="35">
        <v>10.6</v>
      </c>
      <c r="J133" s="15" t="s">
        <v>56</v>
      </c>
      <c r="K133" s="35">
        <v>10.9</v>
      </c>
      <c r="L133" s="15" t="s">
        <v>56</v>
      </c>
      <c r="M133" s="35">
        <v>11.9</v>
      </c>
      <c r="N133" s="15" t="s">
        <v>56</v>
      </c>
      <c r="O133" s="54">
        <v>12.1</v>
      </c>
      <c r="P133" s="15" t="s">
        <v>58</v>
      </c>
      <c r="Q133" s="56">
        <v>13.84</v>
      </c>
      <c r="R133" s="15" t="s">
        <v>58</v>
      </c>
      <c r="S133" s="51" t="s">
        <v>124</v>
      </c>
      <c r="T133" s="34">
        <v>6.17</v>
      </c>
      <c r="U133" s="15" t="s">
        <v>56</v>
      </c>
      <c r="W133" s="49">
        <v>6.2</v>
      </c>
      <c r="X133" s="15" t="s">
        <v>56</v>
      </c>
    </row>
    <row r="134" spans="1:24">
      <c r="A134" s="35">
        <v>15</v>
      </c>
      <c r="B134" s="35"/>
      <c r="C134" s="35"/>
      <c r="D134" s="35">
        <v>9.5</v>
      </c>
      <c r="E134" s="75" t="s">
        <v>56</v>
      </c>
      <c r="F134" s="54">
        <v>12.4</v>
      </c>
      <c r="G134" s="15" t="s">
        <v>58</v>
      </c>
      <c r="I134" s="35">
        <v>9.6999999999999993</v>
      </c>
      <c r="J134" s="15" t="s">
        <v>56</v>
      </c>
      <c r="K134" s="35">
        <v>11.4</v>
      </c>
      <c r="L134" s="15" t="s">
        <v>56</v>
      </c>
      <c r="M134" s="54">
        <v>13.7</v>
      </c>
      <c r="N134" s="15" t="s">
        <v>58</v>
      </c>
      <c r="O134" s="54">
        <v>14.6</v>
      </c>
      <c r="P134" s="15" t="s">
        <v>58</v>
      </c>
      <c r="Q134" s="58">
        <v>19.899999999999999</v>
      </c>
      <c r="R134" s="15" t="s">
        <v>60</v>
      </c>
      <c r="S134" s="51" t="s">
        <v>124</v>
      </c>
      <c r="T134" s="34">
        <v>6.14</v>
      </c>
      <c r="U134" s="15" t="s">
        <v>56</v>
      </c>
      <c r="W134" s="49">
        <v>7.2</v>
      </c>
      <c r="X134" s="15" t="s">
        <v>56</v>
      </c>
    </row>
    <row r="135" spans="1:24">
      <c r="A135" s="35">
        <v>16</v>
      </c>
      <c r="B135" s="35"/>
      <c r="C135" s="35"/>
      <c r="D135" s="35">
        <v>8.6999999999999993</v>
      </c>
      <c r="E135" s="75" t="s">
        <v>56</v>
      </c>
      <c r="F135" s="35">
        <v>9.3000000000000007</v>
      </c>
      <c r="G135" s="15" t="s">
        <v>56</v>
      </c>
      <c r="I135" s="35">
        <v>9.6</v>
      </c>
      <c r="J135" s="15" t="s">
        <v>56</v>
      </c>
      <c r="K135" s="35">
        <v>9.8000000000000007</v>
      </c>
      <c r="L135" s="15" t="s">
        <v>56</v>
      </c>
      <c r="M135" s="35">
        <v>10.4</v>
      </c>
      <c r="N135" s="15" t="s">
        <v>56</v>
      </c>
      <c r="O135" s="35">
        <v>10.7</v>
      </c>
      <c r="P135" s="15" t="s">
        <v>56</v>
      </c>
      <c r="Q135" s="56">
        <v>14.6</v>
      </c>
      <c r="R135" s="15" t="s">
        <v>58</v>
      </c>
      <c r="S135" s="51" t="s">
        <v>124</v>
      </c>
      <c r="T135" s="34">
        <v>6.24</v>
      </c>
      <c r="U135" s="15" t="s">
        <v>56</v>
      </c>
      <c r="W135" s="49">
        <v>5.9</v>
      </c>
      <c r="X135" s="15" t="s">
        <v>56</v>
      </c>
    </row>
    <row r="136" spans="1:24">
      <c r="A136" s="35">
        <v>17</v>
      </c>
      <c r="B136" s="35"/>
      <c r="C136" s="35"/>
      <c r="D136" s="35">
        <v>8.8000000000000007</v>
      </c>
      <c r="E136" s="75" t="s">
        <v>56</v>
      </c>
      <c r="F136" s="35">
        <v>9.6999999999999993</v>
      </c>
      <c r="G136" s="15" t="s">
        <v>56</v>
      </c>
      <c r="I136" s="35">
        <v>9.8000000000000007</v>
      </c>
      <c r="J136" s="15" t="s">
        <v>56</v>
      </c>
      <c r="K136" s="35">
        <v>9.1999999999999993</v>
      </c>
      <c r="L136" s="15" t="s">
        <v>56</v>
      </c>
      <c r="M136" s="35">
        <v>10.199999999999999</v>
      </c>
      <c r="N136" s="15" t="s">
        <v>56</v>
      </c>
      <c r="O136" s="35">
        <v>10.5</v>
      </c>
      <c r="P136" s="15" t="s">
        <v>56</v>
      </c>
      <c r="Q136" s="58">
        <v>16.57</v>
      </c>
      <c r="R136" s="15" t="s">
        <v>60</v>
      </c>
      <c r="S136" s="51" t="s">
        <v>124</v>
      </c>
      <c r="T136" s="34">
        <v>6.29</v>
      </c>
      <c r="U136" s="15" t="s">
        <v>56</v>
      </c>
      <c r="W136" s="49">
        <v>5.6</v>
      </c>
      <c r="X136" s="15" t="s">
        <v>56</v>
      </c>
    </row>
    <row r="137" spans="1:24">
      <c r="A137" s="35">
        <v>18</v>
      </c>
      <c r="B137" s="35"/>
      <c r="C137" s="35"/>
      <c r="D137" s="35">
        <v>8.9</v>
      </c>
      <c r="E137" s="75" t="s">
        <v>56</v>
      </c>
      <c r="F137" s="35">
        <v>9.9</v>
      </c>
      <c r="G137" s="15" t="s">
        <v>56</v>
      </c>
      <c r="I137" s="35">
        <v>11.6</v>
      </c>
      <c r="J137" s="15" t="s">
        <v>56</v>
      </c>
      <c r="K137" s="35">
        <v>9.4</v>
      </c>
      <c r="L137" s="15" t="s">
        <v>56</v>
      </c>
      <c r="M137" s="35">
        <v>10</v>
      </c>
      <c r="N137" s="15" t="s">
        <v>56</v>
      </c>
      <c r="O137" s="35">
        <v>11.2</v>
      </c>
      <c r="P137" s="15" t="s">
        <v>56</v>
      </c>
      <c r="Q137" s="56">
        <v>13.59</v>
      </c>
      <c r="R137" s="15" t="s">
        <v>58</v>
      </c>
      <c r="S137" s="51" t="s">
        <v>124</v>
      </c>
      <c r="T137" s="34">
        <v>6.06</v>
      </c>
      <c r="U137" s="15" t="s">
        <v>56</v>
      </c>
      <c r="W137" s="49">
        <v>5.8</v>
      </c>
      <c r="X137" s="15" t="s">
        <v>56</v>
      </c>
    </row>
    <row r="138" spans="1:24">
      <c r="A138" s="35">
        <v>19</v>
      </c>
      <c r="B138" s="35"/>
      <c r="C138" s="35"/>
      <c r="D138" s="35">
        <v>8.8000000000000007</v>
      </c>
      <c r="E138" s="75" t="s">
        <v>56</v>
      </c>
      <c r="F138" s="35">
        <v>10.3</v>
      </c>
      <c r="G138" s="15" t="s">
        <v>56</v>
      </c>
      <c r="I138" s="35">
        <v>10.8</v>
      </c>
      <c r="J138" s="15" t="s">
        <v>56</v>
      </c>
      <c r="K138" s="35">
        <v>9.6999999999999993</v>
      </c>
      <c r="L138" s="15" t="s">
        <v>56</v>
      </c>
      <c r="M138" s="35">
        <v>9.8000000000000007</v>
      </c>
      <c r="N138" s="15" t="s">
        <v>56</v>
      </c>
      <c r="O138" s="35">
        <v>9.9</v>
      </c>
      <c r="P138" s="15" t="s">
        <v>56</v>
      </c>
      <c r="Q138" s="56">
        <v>13.9</v>
      </c>
      <c r="R138" s="15" t="s">
        <v>58</v>
      </c>
      <c r="S138" s="51" t="s">
        <v>124</v>
      </c>
      <c r="T138" s="34">
        <v>6.14</v>
      </c>
      <c r="U138" s="15" t="s">
        <v>56</v>
      </c>
      <c r="W138" s="49">
        <v>6.1</v>
      </c>
      <c r="X138" s="15" t="s">
        <v>56</v>
      </c>
    </row>
    <row r="139" spans="1:24">
      <c r="A139" s="35">
        <v>20</v>
      </c>
      <c r="B139" s="35"/>
      <c r="C139" s="35"/>
      <c r="D139" s="35">
        <v>8.8000000000000007</v>
      </c>
      <c r="E139" s="75" t="s">
        <v>56</v>
      </c>
      <c r="F139" s="35">
        <v>9.8000000000000007</v>
      </c>
      <c r="G139" s="15" t="s">
        <v>56</v>
      </c>
      <c r="I139" s="35">
        <v>10.7</v>
      </c>
      <c r="J139" s="15" t="s">
        <v>56</v>
      </c>
      <c r="K139" s="35">
        <v>9.8000000000000007</v>
      </c>
      <c r="L139" s="15" t="s">
        <v>56</v>
      </c>
      <c r="M139" s="35">
        <v>10.5</v>
      </c>
      <c r="N139" s="15" t="s">
        <v>56</v>
      </c>
      <c r="O139" s="35">
        <v>10.6</v>
      </c>
      <c r="P139" s="15" t="s">
        <v>56</v>
      </c>
      <c r="Q139" s="56">
        <v>14.27</v>
      </c>
      <c r="R139" s="15" t="s">
        <v>58</v>
      </c>
      <c r="S139" s="51" t="s">
        <v>124</v>
      </c>
      <c r="T139" s="34">
        <v>6.26</v>
      </c>
      <c r="U139" s="15" t="s">
        <v>56</v>
      </c>
      <c r="W139" s="49">
        <v>5.9</v>
      </c>
      <c r="X139" s="15" t="s">
        <v>56</v>
      </c>
    </row>
    <row r="140" spans="1:24">
      <c r="I140" s="83">
        <v>9.9</v>
      </c>
    </row>
    <row r="141" spans="1:24">
      <c r="I141" s="83">
        <v>11.1</v>
      </c>
    </row>
    <row r="142" spans="1:24">
      <c r="I142" s="83">
        <v>10.6</v>
      </c>
    </row>
    <row r="143" spans="1:24">
      <c r="I143" s="83">
        <v>12.8</v>
      </c>
    </row>
    <row r="144" spans="1:24">
      <c r="I144" s="83">
        <v>10.4</v>
      </c>
    </row>
    <row r="145" spans="1:9">
      <c r="I145" s="83">
        <v>9.9</v>
      </c>
    </row>
    <row r="146" spans="1:9">
      <c r="I146" s="83">
        <v>10.5</v>
      </c>
    </row>
    <row r="147" spans="1:9">
      <c r="I147" s="83">
        <v>9.5</v>
      </c>
    </row>
    <row r="148" spans="1:9">
      <c r="I148" s="83">
        <v>9.5</v>
      </c>
    </row>
    <row r="149" spans="1:9">
      <c r="I149" s="83">
        <v>12.2</v>
      </c>
    </row>
    <row r="150" spans="1:9">
      <c r="I150" s="83">
        <v>9.1</v>
      </c>
    </row>
    <row r="151" spans="1:9">
      <c r="I151" s="83">
        <v>11.3</v>
      </c>
    </row>
    <row r="153" spans="1:9">
      <c r="A153" s="96" t="s">
        <v>49</v>
      </c>
    </row>
    <row r="154" spans="1:9">
      <c r="A154" s="75" t="s">
        <v>172</v>
      </c>
    </row>
    <row r="155" spans="1:9">
      <c r="A155" s="75" t="s">
        <v>173</v>
      </c>
    </row>
    <row r="156" spans="1:9">
      <c r="A156" s="75" t="s">
        <v>129</v>
      </c>
      <c r="B156" s="15" t="s">
        <v>7</v>
      </c>
      <c r="C156" s="15" t="s">
        <v>93</v>
      </c>
      <c r="D156" s="15" t="s">
        <v>148</v>
      </c>
      <c r="E156" s="15" t="s">
        <v>149</v>
      </c>
      <c r="F156" s="31">
        <v>44075</v>
      </c>
      <c r="G156" s="15" t="s">
        <v>95</v>
      </c>
    </row>
    <row r="157" spans="1:9">
      <c r="A157" s="35">
        <v>1</v>
      </c>
      <c r="B157" s="35">
        <v>13.6</v>
      </c>
      <c r="D157" s="35">
        <v>13.2</v>
      </c>
      <c r="F157" s="77">
        <v>12.86</v>
      </c>
      <c r="G157" s="97"/>
    </row>
    <row r="158" spans="1:9">
      <c r="A158" s="35">
        <v>2</v>
      </c>
      <c r="B158" s="35">
        <v>13.8</v>
      </c>
      <c r="D158" s="35">
        <v>13.4</v>
      </c>
      <c r="F158" s="77">
        <v>12.66</v>
      </c>
      <c r="G158" s="97"/>
    </row>
    <row r="159" spans="1:9">
      <c r="A159" s="35">
        <v>3</v>
      </c>
      <c r="B159" s="35">
        <v>13.2</v>
      </c>
      <c r="D159" s="35">
        <v>13.4</v>
      </c>
      <c r="F159" s="77">
        <v>12.27</v>
      </c>
      <c r="G159" s="97"/>
    </row>
    <row r="160" spans="1:9">
      <c r="A160" s="35">
        <v>4</v>
      </c>
      <c r="B160" s="35">
        <v>14.2</v>
      </c>
      <c r="D160" s="35">
        <v>14.7</v>
      </c>
      <c r="F160" s="77">
        <v>12.87</v>
      </c>
      <c r="G160" s="97"/>
    </row>
    <row r="161" spans="1:7">
      <c r="A161" s="35">
        <v>5</v>
      </c>
      <c r="B161" s="35">
        <v>12.9</v>
      </c>
      <c r="D161" s="35">
        <v>12.8</v>
      </c>
      <c r="F161" s="77">
        <v>12.32</v>
      </c>
      <c r="G161" s="97"/>
    </row>
    <row r="162" spans="1:7">
      <c r="A162" s="35">
        <v>6</v>
      </c>
      <c r="B162" s="35">
        <v>12.5</v>
      </c>
      <c r="D162" s="35">
        <v>12.5</v>
      </c>
      <c r="F162" s="77">
        <v>13.18</v>
      </c>
      <c r="G162" s="97"/>
    </row>
    <row r="163" spans="1:7">
      <c r="A163" s="35">
        <v>7</v>
      </c>
      <c r="B163" s="35">
        <v>13.5</v>
      </c>
      <c r="D163" s="35">
        <v>13.5</v>
      </c>
      <c r="F163" s="77">
        <v>13.05</v>
      </c>
      <c r="G163" s="97"/>
    </row>
    <row r="164" spans="1:7">
      <c r="A164" s="35">
        <v>8</v>
      </c>
      <c r="B164" s="35">
        <v>13.5</v>
      </c>
      <c r="D164" s="35">
        <v>13.5</v>
      </c>
      <c r="F164" s="77">
        <v>12.76</v>
      </c>
      <c r="G164" s="97"/>
    </row>
    <row r="165" spans="1:7">
      <c r="A165" s="35">
        <v>9</v>
      </c>
      <c r="B165" s="35">
        <v>13.7</v>
      </c>
      <c r="D165" s="35">
        <v>14.3</v>
      </c>
      <c r="F165" s="77">
        <v>12.41</v>
      </c>
      <c r="G165" s="97"/>
    </row>
    <row r="166" spans="1:7">
      <c r="A166" s="35">
        <v>10</v>
      </c>
      <c r="B166" s="35">
        <v>12.3</v>
      </c>
      <c r="D166" s="35">
        <v>13.6</v>
      </c>
      <c r="F166" s="77">
        <v>12.77</v>
      </c>
      <c r="G166" s="97"/>
    </row>
    <row r="167" spans="1:7">
      <c r="A167" s="35">
        <v>11</v>
      </c>
      <c r="B167" s="35">
        <v>13.2</v>
      </c>
      <c r="D167" s="35">
        <v>13.9</v>
      </c>
      <c r="F167" s="77">
        <v>12.63</v>
      </c>
      <c r="G167" s="97"/>
    </row>
    <row r="168" spans="1:7">
      <c r="A168" s="35">
        <v>12</v>
      </c>
      <c r="B168" s="35">
        <v>12.6</v>
      </c>
      <c r="D168" s="35">
        <v>13.7</v>
      </c>
      <c r="F168" s="77">
        <v>12.29</v>
      </c>
      <c r="G168" s="97"/>
    </row>
    <row r="169" spans="1:7">
      <c r="A169" s="35">
        <v>13</v>
      </c>
      <c r="B169" s="35">
        <v>12</v>
      </c>
      <c r="D169" s="35">
        <v>13.3</v>
      </c>
      <c r="F169" s="77">
        <v>12.05</v>
      </c>
      <c r="G169" s="97"/>
    </row>
    <row r="170" spans="1:7">
      <c r="A170" s="35">
        <v>14</v>
      </c>
      <c r="B170" s="35">
        <v>12.5</v>
      </c>
      <c r="D170" s="35">
        <v>12.8</v>
      </c>
      <c r="F170" s="77">
        <v>12.52</v>
      </c>
      <c r="G170" s="97"/>
    </row>
    <row r="171" spans="1:7">
      <c r="A171" s="35">
        <v>15</v>
      </c>
      <c r="B171" s="35">
        <v>11.4</v>
      </c>
      <c r="D171" s="35">
        <v>11.5</v>
      </c>
      <c r="F171" s="77">
        <v>11.65</v>
      </c>
      <c r="G171" s="97"/>
    </row>
    <row r="172" spans="1:7">
      <c r="A172" s="35">
        <v>16</v>
      </c>
      <c r="B172" s="35">
        <v>13.5</v>
      </c>
      <c r="D172" s="35">
        <v>12.2</v>
      </c>
      <c r="F172" s="77">
        <v>12.57</v>
      </c>
      <c r="G172" s="97"/>
    </row>
    <row r="173" spans="1:7">
      <c r="A173" s="35">
        <v>17</v>
      </c>
      <c r="B173" s="35">
        <v>12</v>
      </c>
      <c r="D173" s="35">
        <v>12.7</v>
      </c>
      <c r="F173" s="77">
        <v>12.59</v>
      </c>
      <c r="G173" s="97"/>
    </row>
    <row r="174" spans="1:7">
      <c r="A174" s="35">
        <v>18</v>
      </c>
      <c r="B174" s="35">
        <v>11.9</v>
      </c>
      <c r="D174" s="35">
        <v>12.5</v>
      </c>
      <c r="F174" s="77">
        <v>12.13</v>
      </c>
      <c r="G174" s="97"/>
    </row>
    <row r="175" spans="1:7">
      <c r="A175" s="35">
        <v>19</v>
      </c>
      <c r="B175" s="35">
        <v>11.9</v>
      </c>
      <c r="D175" s="35">
        <v>12.6</v>
      </c>
      <c r="F175" s="77">
        <v>12.09</v>
      </c>
      <c r="G175" s="97"/>
    </row>
    <row r="176" spans="1:7">
      <c r="A176" s="35">
        <v>20</v>
      </c>
      <c r="B176" s="35">
        <v>12.1</v>
      </c>
      <c r="D176" s="35">
        <v>12.5</v>
      </c>
      <c r="F176" s="77">
        <v>12.5</v>
      </c>
      <c r="G176" s="97"/>
    </row>
    <row r="177" spans="1:7">
      <c r="A177" s="35">
        <v>21</v>
      </c>
      <c r="B177" s="35">
        <v>12.3</v>
      </c>
      <c r="D177" s="35">
        <v>12.8</v>
      </c>
      <c r="F177" s="77">
        <v>12.39</v>
      </c>
      <c r="G177" s="97"/>
    </row>
    <row r="178" spans="1:7">
      <c r="A178" s="35">
        <v>22</v>
      </c>
      <c r="B178" s="35">
        <v>11.8</v>
      </c>
      <c r="D178" s="35">
        <v>12.4</v>
      </c>
      <c r="F178" s="77">
        <v>11.87</v>
      </c>
      <c r="G178" s="97"/>
    </row>
    <row r="179" spans="1:7">
      <c r="A179" s="35">
        <v>23</v>
      </c>
      <c r="B179" s="35">
        <v>12</v>
      </c>
      <c r="D179" s="35">
        <v>12.5</v>
      </c>
      <c r="F179" s="77">
        <v>12.22</v>
      </c>
      <c r="G179" s="97"/>
    </row>
    <row r="180" spans="1:7">
      <c r="A180" s="35">
        <v>24</v>
      </c>
      <c r="B180" s="35">
        <v>12.5</v>
      </c>
      <c r="D180" s="35">
        <v>12.8</v>
      </c>
      <c r="F180" s="77">
        <v>13.26</v>
      </c>
      <c r="G180" s="97"/>
    </row>
    <row r="181" spans="1:7">
      <c r="A181" s="35">
        <v>25</v>
      </c>
      <c r="B181" s="35">
        <v>12.6</v>
      </c>
      <c r="D181" s="35">
        <v>12.7</v>
      </c>
      <c r="F181" s="77">
        <v>12.67</v>
      </c>
      <c r="G181" s="97"/>
    </row>
    <row r="182" spans="1:7">
      <c r="A182" s="35">
        <v>26</v>
      </c>
      <c r="B182" s="35">
        <v>12</v>
      </c>
      <c r="D182" s="35">
        <v>12.7</v>
      </c>
      <c r="F182" s="77">
        <v>12.24</v>
      </c>
      <c r="G182" s="97"/>
    </row>
    <row r="183" spans="1:7">
      <c r="A183" s="35">
        <v>27</v>
      </c>
      <c r="B183" s="35">
        <v>12.1</v>
      </c>
      <c r="D183" s="35">
        <v>12.5</v>
      </c>
      <c r="F183" s="77">
        <v>13.77</v>
      </c>
      <c r="G183" s="97"/>
    </row>
    <row r="184" spans="1:7">
      <c r="A184" s="35">
        <v>28</v>
      </c>
      <c r="B184" s="35">
        <v>12.1</v>
      </c>
      <c r="D184" s="35">
        <v>12.5</v>
      </c>
      <c r="F184" s="77">
        <v>12.56</v>
      </c>
      <c r="G184" s="97"/>
    </row>
    <row r="185" spans="1:7">
      <c r="A185" s="35">
        <v>29</v>
      </c>
      <c r="B185" s="35">
        <v>12.1</v>
      </c>
      <c r="D185" s="35">
        <v>12.8</v>
      </c>
      <c r="F185" s="77">
        <v>12.57</v>
      </c>
      <c r="G185" s="97"/>
    </row>
    <row r="186" spans="1:7">
      <c r="A186" s="35">
        <v>30</v>
      </c>
      <c r="B186" s="35">
        <v>12.8</v>
      </c>
      <c r="D186" s="35">
        <v>13.2</v>
      </c>
      <c r="F186" s="77">
        <v>13.17</v>
      </c>
      <c r="G186" s="97"/>
    </row>
    <row r="187" spans="1:7">
      <c r="A187" s="35">
        <v>31</v>
      </c>
      <c r="B187" s="35">
        <v>12.7</v>
      </c>
      <c r="D187" s="35">
        <v>12.4</v>
      </c>
      <c r="F187" s="77">
        <v>12.95</v>
      </c>
      <c r="G187" s="97"/>
    </row>
    <row r="188" spans="1:7">
      <c r="A188" s="35">
        <v>32</v>
      </c>
      <c r="B188" s="35">
        <v>14.3</v>
      </c>
      <c r="D188" s="35">
        <v>14.1</v>
      </c>
      <c r="F188" s="77">
        <v>14.62</v>
      </c>
      <c r="G188" s="97"/>
    </row>
    <row r="189" spans="1:7">
      <c r="A189" s="35">
        <v>33</v>
      </c>
      <c r="B189" s="35">
        <v>11.6</v>
      </c>
      <c r="D189" s="35">
        <v>12.5</v>
      </c>
      <c r="F189" s="77">
        <v>12.1</v>
      </c>
      <c r="G189" s="97"/>
    </row>
    <row r="190" spans="1:7">
      <c r="A190" s="35">
        <v>34</v>
      </c>
      <c r="B190" s="35">
        <v>13.1</v>
      </c>
      <c r="D190" s="35">
        <v>13.3</v>
      </c>
      <c r="F190" s="77">
        <v>12.72</v>
      </c>
      <c r="G190" s="97"/>
    </row>
    <row r="191" spans="1:7">
      <c r="A191" s="35">
        <v>35</v>
      </c>
      <c r="B191" s="35">
        <v>13.1</v>
      </c>
      <c r="D191" s="35">
        <v>13.1</v>
      </c>
      <c r="F191" s="77">
        <v>12.58</v>
      </c>
      <c r="G191" s="97"/>
    </row>
    <row r="192" spans="1:7">
      <c r="A192" s="35">
        <v>36</v>
      </c>
      <c r="B192" s="35">
        <v>11.5</v>
      </c>
      <c r="D192" s="35">
        <v>12.1</v>
      </c>
      <c r="F192" s="77">
        <v>11.53</v>
      </c>
      <c r="G192" s="97"/>
    </row>
    <row r="193" spans="1:7">
      <c r="A193" s="35">
        <v>37</v>
      </c>
      <c r="B193" s="35">
        <v>12.3</v>
      </c>
      <c r="D193" s="35">
        <v>12.7</v>
      </c>
      <c r="F193" s="77">
        <v>12.3</v>
      </c>
      <c r="G193" s="97"/>
    </row>
    <row r="194" spans="1:7">
      <c r="A194" s="35">
        <v>38</v>
      </c>
      <c r="B194" s="35">
        <v>12.6</v>
      </c>
      <c r="D194" s="35">
        <v>12.8</v>
      </c>
      <c r="F194" s="77">
        <v>12.45</v>
      </c>
      <c r="G194" s="97"/>
    </row>
    <row r="195" spans="1:7">
      <c r="A195" s="35">
        <v>39</v>
      </c>
      <c r="B195" s="35">
        <v>11.9</v>
      </c>
      <c r="D195" s="35">
        <v>12</v>
      </c>
      <c r="F195" s="77">
        <v>11.85</v>
      </c>
      <c r="G195" s="97"/>
    </row>
    <row r="196" spans="1:7">
      <c r="A196" s="35">
        <v>40</v>
      </c>
      <c r="B196" s="35">
        <v>12.7</v>
      </c>
      <c r="D196" s="35">
        <v>13.5</v>
      </c>
      <c r="F196" s="77">
        <v>12.79</v>
      </c>
      <c r="G196" s="9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 Sheet </vt:lpstr>
      <vt:lpstr>Reference Sheet</vt:lpstr>
      <vt:lpstr>AMAT </vt:lpstr>
      <vt:lpstr>NANO </vt:lpstr>
      <vt:lpstr>MICRO 1 &amp; 2 </vt:lpstr>
      <vt:lpstr>MBE </vt:lpstr>
      <vt:lpstr>NCPRE </vt:lpstr>
      <vt:lpstr>NMPF</vt:lpstr>
      <vt:lpstr>MBE Cells UPS</vt:lpstr>
      <vt:lpstr>Other IITBNF UPS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</dc:creator>
  <cp:lastModifiedBy>Guest</cp:lastModifiedBy>
  <dcterms:created xsi:type="dcterms:W3CDTF">2021-05-05T18:15:39Z</dcterms:created>
  <dcterms:modified xsi:type="dcterms:W3CDTF">2021-05-05T18:15:40Z</dcterms:modified>
</cp:coreProperties>
</file>